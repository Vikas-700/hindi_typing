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0E1278D3-06B6-4D4C-AA8B-8F101CE79040}" xr6:coauthVersionLast="47" xr6:coauthVersionMax="47" xr10:uidLastSave="{00000000-0000-0000-0000-000000000000}"/>
  <bookViews>
    <workbookView xWindow="-120" yWindow="-120" windowWidth="20730" windowHeight="11040" tabRatio="500" activeTab="6" xr2:uid="{00000000-000D-0000-FFFF-FFFF00000000}"/>
  </bookViews>
  <sheets>
    <sheet name="Gram_Panchayat_Master" sheetId="1" r:id="rId1"/>
    <sheet name="Village_Master" sheetId="2" r:id="rId2"/>
    <sheet name="Booth_Master" sheetId="3" r:id="rId3"/>
    <sheet name="Election_Result_2022" sheetId="4" r:id="rId4"/>
    <sheet name="Caste_Data" sheetId="5" r:id="rId5"/>
    <sheet name="Influential_Persons" sheetId="6" r:id="rId6"/>
    <sheet name="Search" sheetId="7" r:id="rId7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8" i="7" l="1"/>
  <c r="B2" i="7"/>
  <c r="E10" i="7" s="1"/>
  <c r="A2" i="7"/>
  <c r="F24" i="7" s="1"/>
  <c r="N9" i="6"/>
  <c r="M9" i="6"/>
  <c r="L9" i="6"/>
  <c r="K9" i="6"/>
  <c r="J9" i="6"/>
  <c r="I9" i="6"/>
  <c r="N8" i="6"/>
  <c r="M8" i="6"/>
  <c r="L8" i="6"/>
  <c r="K8" i="6"/>
  <c r="J8" i="6"/>
  <c r="I8" i="6"/>
  <c r="N7" i="6"/>
  <c r="M7" i="6"/>
  <c r="L7" i="6"/>
  <c r="K7" i="6"/>
  <c r="J7" i="6"/>
  <c r="I7" i="6"/>
  <c r="N6" i="6"/>
  <c r="M6" i="6"/>
  <c r="L6" i="6"/>
  <c r="K6" i="6"/>
  <c r="J6" i="6"/>
  <c r="I6" i="6"/>
  <c r="M3" i="1"/>
  <c r="K12" i="7" l="1"/>
  <c r="L12" i="7" s="1"/>
  <c r="K11" i="7"/>
  <c r="L11" i="7" s="1"/>
  <c r="I12" i="7"/>
  <c r="J12" i="7" s="1"/>
  <c r="I11" i="7"/>
  <c r="J11" i="7" s="1"/>
  <c r="G7" i="7"/>
  <c r="G2" i="7"/>
  <c r="A23" i="7"/>
  <c r="G4" i="7"/>
  <c r="K4" i="7"/>
  <c r="L4" i="7" s="1"/>
  <c r="H5" i="7"/>
  <c r="I6" i="7"/>
  <c r="J6" i="7" s="1"/>
  <c r="A27" i="7"/>
  <c r="G8" i="7"/>
  <c r="H10" i="7"/>
  <c r="A34" i="7"/>
  <c r="C6" i="7"/>
  <c r="B7" i="7"/>
  <c r="A8" i="7"/>
  <c r="E17" i="7"/>
  <c r="C9" i="7"/>
  <c r="B10" i="7"/>
  <c r="A15" i="7"/>
  <c r="A16" i="7"/>
  <c r="A17" i="7"/>
  <c r="A18" i="7"/>
  <c r="F29" i="7"/>
  <c r="H2" i="7"/>
  <c r="G3" i="7"/>
  <c r="K3" i="7"/>
  <c r="L3" i="7" s="1"/>
  <c r="H4" i="7"/>
  <c r="I5" i="7"/>
  <c r="J5" i="7" s="1"/>
  <c r="A26" i="7"/>
  <c r="K7" i="7"/>
  <c r="L7" i="7" s="1"/>
  <c r="H8" i="7"/>
  <c r="A29" i="7"/>
  <c r="K9" i="7"/>
  <c r="L9" i="7" s="1"/>
  <c r="I10" i="7"/>
  <c r="J10" i="7" s="1"/>
  <c r="A31" i="7"/>
  <c r="F15" i="7"/>
  <c r="D6" i="7"/>
  <c r="C7" i="7"/>
  <c r="B8" i="7"/>
  <c r="F20" i="7"/>
  <c r="D9" i="7"/>
  <c r="C10" i="7"/>
  <c r="A19" i="7"/>
  <c r="J2" i="7"/>
  <c r="H3" i="7"/>
  <c r="I4" i="7"/>
  <c r="J4" i="7" s="1"/>
  <c r="A25" i="7"/>
  <c r="G6" i="7"/>
  <c r="K6" i="7"/>
  <c r="L6" i="7" s="1"/>
  <c r="H7" i="7"/>
  <c r="H9" i="7"/>
  <c r="A32" i="7"/>
  <c r="A6" i="7"/>
  <c r="E15" i="7"/>
  <c r="D7" i="7"/>
  <c r="C8" i="7"/>
  <c r="A9" i="7"/>
  <c r="E9" i="7"/>
  <c r="D10" i="7"/>
  <c r="G1" i="7"/>
  <c r="L2" i="7"/>
  <c r="I3" i="7"/>
  <c r="J3" i="7" s="1"/>
  <c r="A24" i="7"/>
  <c r="G5" i="7"/>
  <c r="K5" i="7"/>
  <c r="L5" i="7" s="1"/>
  <c r="H6" i="7"/>
  <c r="I7" i="7"/>
  <c r="J7" i="7" s="1"/>
  <c r="A28" i="7"/>
  <c r="K8" i="7"/>
  <c r="L8" i="7" s="1"/>
  <c r="I9" i="7"/>
  <c r="J9" i="7" s="1"/>
  <c r="A30" i="7"/>
  <c r="K10" i="7"/>
  <c r="L10" i="7" s="1"/>
  <c r="A33" i="7"/>
  <c r="B6" i="7"/>
  <c r="A7" i="7"/>
  <c r="E16" i="7"/>
  <c r="D8" i="7"/>
  <c r="B9" i="7"/>
  <c r="A10" i="7"/>
  <c r="D11" i="7" l="1"/>
  <c r="D18" i="7"/>
  <c r="C18" i="7"/>
  <c r="B18" i="7"/>
  <c r="E33" i="7"/>
  <c r="D33" i="7"/>
  <c r="C33" i="7"/>
  <c r="B33" i="7"/>
  <c r="E28" i="7"/>
  <c r="D28" i="7"/>
  <c r="C28" i="7"/>
  <c r="B28" i="7"/>
  <c r="B32" i="7"/>
  <c r="E32" i="7"/>
  <c r="D32" i="7"/>
  <c r="C32" i="7"/>
  <c r="C29" i="7"/>
  <c r="B29" i="7"/>
  <c r="E29" i="7"/>
  <c r="D29" i="7"/>
  <c r="C26" i="7"/>
  <c r="B26" i="7"/>
  <c r="E26" i="7"/>
  <c r="D26" i="7"/>
  <c r="D17" i="7"/>
  <c r="C17" i="7"/>
  <c r="B17" i="7"/>
  <c r="C11" i="7"/>
  <c r="D27" i="7"/>
  <c r="C27" i="7"/>
  <c r="B27" i="7"/>
  <c r="E27" i="7"/>
  <c r="E30" i="7"/>
  <c r="D30" i="7"/>
  <c r="C30" i="7"/>
  <c r="B30" i="7"/>
  <c r="E24" i="7"/>
  <c r="D24" i="7"/>
  <c r="C24" i="7"/>
  <c r="B24" i="7"/>
  <c r="B25" i="7"/>
  <c r="E25" i="7"/>
  <c r="D25" i="7"/>
  <c r="C25" i="7"/>
  <c r="C19" i="7"/>
  <c r="B19" i="7"/>
  <c r="D19" i="7"/>
  <c r="C31" i="7"/>
  <c r="B31" i="7"/>
  <c r="E31" i="7"/>
  <c r="D31" i="7"/>
  <c r="D16" i="7"/>
  <c r="C16" i="7"/>
  <c r="B16" i="7"/>
  <c r="D34" i="7"/>
  <c r="C34" i="7"/>
  <c r="B34" i="7"/>
  <c r="E34" i="7"/>
  <c r="D23" i="7"/>
  <c r="C23" i="7"/>
  <c r="B23" i="7"/>
  <c r="E23" i="7"/>
  <c r="B11" i="7"/>
  <c r="D15" i="7"/>
  <c r="C15" i="7"/>
  <c r="B15" i="7"/>
  <c r="D20" i="7" l="1"/>
  <c r="G9" i="7" s="1"/>
  <c r="C20" i="7"/>
  <c r="B20" i="7"/>
</calcChain>
</file>

<file path=xl/sharedStrings.xml><?xml version="1.0" encoding="utf-8"?>
<sst xmlns="http://schemas.openxmlformats.org/spreadsheetml/2006/main" count="360" uniqueCount="197">
  <si>
    <t>GP_ID</t>
  </si>
  <si>
    <t>Gram_Panchayat</t>
  </si>
  <si>
    <t>Block</t>
  </si>
  <si>
    <t>Tehsil</t>
  </si>
  <si>
    <t>District</t>
  </si>
  <si>
    <t>Vidhansabha</t>
  </si>
  <si>
    <t>Bihavior Of Prashant Patel</t>
  </si>
  <si>
    <t>मुख्य_समस्या</t>
  </si>
  <si>
    <t>विशेष_टिप्पणी</t>
  </si>
  <si>
    <t>Muslim Vote Devidetion</t>
  </si>
  <si>
    <t>Present Situation</t>
  </si>
  <si>
    <t>SC Toword</t>
  </si>
  <si>
    <t>Form Photo</t>
  </si>
  <si>
    <t>Survy Executive</t>
  </si>
  <si>
    <t>GP001</t>
  </si>
  <si>
    <t>Kalari</t>
  </si>
  <si>
    <t>Bithri Chainpur</t>
  </si>
  <si>
    <t>Bareilly</t>
  </si>
  <si>
    <t>Bhojipura</t>
  </si>
  <si>
    <t>प्रशन पटेल जी जिला पंचायत प्रतिनिधि के रूप में कार्य हुआ है विचार ठीक है पर मेहनत करने की आवशयकता है</t>
  </si>
  <si>
    <t>1. श्री मुकदर अली खा जूनियर स्कूल से पुलिया तक CC रोड पड़ना है  2.  पानी की टंकी चार महीने से नहीं चल रही है</t>
  </si>
  <si>
    <t>कलारी ग्राम में विशेष रूप से ध्यान देने की आवशयकता है और हर बूथ पर ध्यान देने की आवशयकता है और नाराजगी भी है लोगो में प्रशांत पटेल जी से|</t>
  </si>
  <si>
    <t>हा होगा</t>
  </si>
  <si>
    <t>SP</t>
  </si>
  <si>
    <t>BJP</t>
  </si>
  <si>
    <t>Harsh,Sarvraj,Bhopendra</t>
  </si>
  <si>
    <t>GP002</t>
  </si>
  <si>
    <t>Nagariya Kalan</t>
  </si>
  <si>
    <t>लोग कम जानते है और आते भी नहीं है इधर लोगो का कहना है</t>
  </si>
  <si>
    <t>रलवे लायन से लेकर नन्युआ साईकिल बाले के घर तक रोड ख़राब  है (नईक,सत्यपाल) कूड़ा दान का कोई रास्ता नहीं है प्रयोग नहीं कर सकते(महेस)</t>
  </si>
  <si>
    <t>जाटव समाज में सत्यपाल मास्टर के पुराने बाले माकन की गली में पानी का निकास नहीं है क्योकि बहार बाला रोड ऊचा है तो बहुत समस्या है अभी सभी को</t>
  </si>
  <si>
    <t>सुल्तान बेग जी को जायदा वोट मिलेंगे क्योकि सहजील से लोग नाराज है</t>
  </si>
  <si>
    <t>BSP</t>
  </si>
  <si>
    <t>Vikas,Harsh,Arvind</t>
  </si>
  <si>
    <t>Village_ID</t>
  </si>
  <si>
    <t>Village_Name</t>
  </si>
  <si>
    <t>V001</t>
  </si>
  <si>
    <t>V002</t>
  </si>
  <si>
    <t>Booth_ID</t>
  </si>
  <si>
    <t>Booth_No_Old</t>
  </si>
  <si>
    <t>Both_No_New</t>
  </si>
  <si>
    <t>Total_Voters</t>
  </si>
  <si>
    <t>Male_Voters</t>
  </si>
  <si>
    <t>Female_Voters</t>
  </si>
  <si>
    <t xml:space="preserve">Both Condition </t>
  </si>
  <si>
    <t>B001</t>
  </si>
  <si>
    <t>Strong</t>
  </si>
  <si>
    <t>B002</t>
  </si>
  <si>
    <t>Weak</t>
  </si>
  <si>
    <t>B003</t>
  </si>
  <si>
    <t>B004</t>
  </si>
  <si>
    <t>Very Weak</t>
  </si>
  <si>
    <t>B005</t>
  </si>
  <si>
    <t>B006</t>
  </si>
  <si>
    <t>Election_ID</t>
  </si>
  <si>
    <t>BJP_Votes</t>
  </si>
  <si>
    <t>SP_Votes</t>
  </si>
  <si>
    <t>BSP_Votes</t>
  </si>
  <si>
    <t>E001</t>
  </si>
  <si>
    <t>E002</t>
  </si>
  <si>
    <t>E003</t>
  </si>
  <si>
    <t>E004</t>
  </si>
  <si>
    <t>E005</t>
  </si>
  <si>
    <t>E006</t>
  </si>
  <si>
    <t>Caste_ID</t>
  </si>
  <si>
    <t>Religion</t>
  </si>
  <si>
    <t>Caste_Name</t>
  </si>
  <si>
    <t>Voters</t>
  </si>
  <si>
    <t>C001</t>
  </si>
  <si>
    <t>Hindu</t>
  </si>
  <si>
    <t>Kurmi</t>
  </si>
  <si>
    <t>C002</t>
  </si>
  <si>
    <t>Kashyap</t>
  </si>
  <si>
    <t>C003</t>
  </si>
  <si>
    <t>Mourya</t>
  </si>
  <si>
    <t>C004</t>
  </si>
  <si>
    <t>Jatav</t>
  </si>
  <si>
    <t>C005</t>
  </si>
  <si>
    <t>Dhobi</t>
  </si>
  <si>
    <t>C006</t>
  </si>
  <si>
    <t>Muslim</t>
  </si>
  <si>
    <t>Others</t>
  </si>
  <si>
    <t>C007</t>
  </si>
  <si>
    <t>Anshari</t>
  </si>
  <si>
    <t>C008</t>
  </si>
  <si>
    <t>Pathan</t>
  </si>
  <si>
    <t>C009</t>
  </si>
  <si>
    <t>Alvi</t>
  </si>
  <si>
    <t>C010</t>
  </si>
  <si>
    <t>Badhai</t>
  </si>
  <si>
    <t>C011</t>
  </si>
  <si>
    <t>Sahu</t>
  </si>
  <si>
    <t>C012</t>
  </si>
  <si>
    <t>C013</t>
  </si>
  <si>
    <t>C014</t>
  </si>
  <si>
    <t>C015</t>
  </si>
  <si>
    <t>Mevati</t>
  </si>
  <si>
    <t>C016</t>
  </si>
  <si>
    <t>Salmani</t>
  </si>
  <si>
    <t>C017</t>
  </si>
  <si>
    <t>Mansuri</t>
  </si>
  <si>
    <t>C018</t>
  </si>
  <si>
    <t>Lohar</t>
  </si>
  <si>
    <t>C019</t>
  </si>
  <si>
    <t>Nai</t>
  </si>
  <si>
    <t>C020</t>
  </si>
  <si>
    <t>V003</t>
  </si>
  <si>
    <t>C021</t>
  </si>
  <si>
    <t>C022</t>
  </si>
  <si>
    <t>Person_ID</t>
  </si>
  <si>
    <t>Name</t>
  </si>
  <si>
    <t>Role</t>
  </si>
  <si>
    <t>Mobile</t>
  </si>
  <si>
    <t>Political_Affiliation</t>
  </si>
  <si>
    <t>Cast</t>
  </si>
  <si>
    <t>P001</t>
  </si>
  <si>
    <t>Nasreen</t>
  </si>
  <si>
    <t>Gram Pradhan</t>
  </si>
  <si>
    <t>P002</t>
  </si>
  <si>
    <t>Khem Raj</t>
  </si>
  <si>
    <t>Pradhan Candidate</t>
  </si>
  <si>
    <t>P003</t>
  </si>
  <si>
    <t>Faizan</t>
  </si>
  <si>
    <t>BDC Member</t>
  </si>
  <si>
    <t>P004</t>
  </si>
  <si>
    <t>Reyaj Ahmad</t>
  </si>
  <si>
    <t>P005</t>
  </si>
  <si>
    <t>Raheem Kha</t>
  </si>
  <si>
    <t>Former Pradhan</t>
  </si>
  <si>
    <t>P006</t>
  </si>
  <si>
    <t>Ejakat Kha</t>
  </si>
  <si>
    <t>Kotedar</t>
  </si>
  <si>
    <t>P007</t>
  </si>
  <si>
    <t>Hmeed Rza Kha</t>
  </si>
  <si>
    <t>P008</t>
  </si>
  <si>
    <t>Chheda Lal</t>
  </si>
  <si>
    <t>Influential</t>
  </si>
  <si>
    <t>P009</t>
  </si>
  <si>
    <t>Jamuna Prashad</t>
  </si>
  <si>
    <t>P010</t>
  </si>
  <si>
    <t>Mangle Lal</t>
  </si>
  <si>
    <t>P011</t>
  </si>
  <si>
    <t>Hasnen</t>
  </si>
  <si>
    <t>P012</t>
  </si>
  <si>
    <t>Edrees</t>
  </si>
  <si>
    <t>BDC Candidate</t>
  </si>
  <si>
    <t>P013</t>
  </si>
  <si>
    <t>ShahaJi Kamal</t>
  </si>
  <si>
    <t>Pradhan Putr</t>
  </si>
  <si>
    <t>P014</t>
  </si>
  <si>
    <t>Tarikh Anshari</t>
  </si>
  <si>
    <t>Kotedar Batije</t>
  </si>
  <si>
    <t>P015</t>
  </si>
  <si>
    <t>Naresh</t>
  </si>
  <si>
    <t xml:space="preserve">BDC </t>
  </si>
  <si>
    <t>P016</t>
  </si>
  <si>
    <t>Stya Pal</t>
  </si>
  <si>
    <t>Tearcher</t>
  </si>
  <si>
    <t>P017</t>
  </si>
  <si>
    <t>Mahesh Pal</t>
  </si>
  <si>
    <t>Medical Store</t>
  </si>
  <si>
    <t>P018</t>
  </si>
  <si>
    <t>Ashif Khan</t>
  </si>
  <si>
    <t>up vijeta Pradhan</t>
  </si>
  <si>
    <t>P019</t>
  </si>
  <si>
    <t>Naik Ahmad</t>
  </si>
  <si>
    <t>Kirana Store</t>
  </si>
  <si>
    <t>P020</t>
  </si>
  <si>
    <t>Nanhe Lal</t>
  </si>
  <si>
    <t>P021</t>
  </si>
  <si>
    <t>Raghunath</t>
  </si>
  <si>
    <t>P022</t>
  </si>
  <si>
    <t>Naseer</t>
  </si>
  <si>
    <t>Panchayat sahak</t>
  </si>
  <si>
    <t>Gram Panchayat Code</t>
  </si>
  <si>
    <t>Villege Code</t>
  </si>
  <si>
    <t>Enter Villege Name Or</t>
  </si>
  <si>
    <t>Enter Villege Code</t>
  </si>
  <si>
    <t>Gram Panchayat</t>
  </si>
  <si>
    <t>All Villege</t>
  </si>
  <si>
    <t>Total Vote</t>
  </si>
  <si>
    <t xml:space="preserve">Total Vote </t>
  </si>
  <si>
    <t>Political Affiliation</t>
  </si>
  <si>
    <t>Survy Executives</t>
  </si>
  <si>
    <t>Hindu Cast</t>
  </si>
  <si>
    <t>Muslim Cast</t>
  </si>
  <si>
    <t>Vidhan Sabha</t>
  </si>
  <si>
    <t>Muslim Vote devidation</t>
  </si>
  <si>
    <t>2022 Result</t>
  </si>
  <si>
    <t>Total</t>
  </si>
  <si>
    <t>Total Voter Both wise</t>
  </si>
  <si>
    <t>Male</t>
  </si>
  <si>
    <t>Female</t>
  </si>
  <si>
    <t>Both</t>
  </si>
  <si>
    <t xml:space="preserve">New Both </t>
  </si>
  <si>
    <t xml:space="preserve">Old Both </t>
  </si>
  <si>
    <t xml:space="preserve">2022 Voting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</si>
</sst>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b/>
      <sz val="11"/>
      <color theme="1"/>
      <name val="FreeSans"/>
      <family val="2"/>
      <charset val="1"/>
    </font>
    <font>
      <sz val="11"/>
      <color theme="1"/>
      <name val="FreeSans"/>
      <family val="2"/>
      <charset val="1"/>
    </font>
    <font>
      <u/>
      <sz val="11"/>
      <color theme="10"/>
      <name val="Calibri"/>
      <family val="2"/>
      <charset val="1"/>
    </font>
    <font>
      <b/>
      <sz val="11"/>
      <color rgb="FFFFFF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37474F"/>
      </patternFill>
    </fill>
    <fill>
      <patternFill patternType="solid">
        <fgColor rgb="FFFF9933"/>
      </patternFill>
    </fill>
    <fill>
      <patternFill patternType="solid">
        <fgColor rgb="FF138808"/>
      </patternFill>
    </fill>
    <fill>
      <patternFill patternType="solid">
        <fgColor rgb="FF1565C0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BBDEFB"/>
      </patternFill>
    </fill>
    <fill>
      <patternFill patternType="solid">
        <fgColor rgb="FFE65C00"/>
      </patternFill>
    </fill>
    <fill>
      <patternFill patternType="solid">
        <fgColor rgb="FF1B5E20"/>
      </patternFill>
    </fill>
    <fill>
      <patternFill patternType="solid">
        <fgColor rgb="FFFFD180"/>
      </patternFill>
    </fill>
    <fill>
      <patternFill patternType="solid">
        <fgColor rgb="FFA5D6A7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Border="0" applyAlignment="0" applyProtection="0"/>
    <xf numFmtId="0" fontId="5" fillId="0" borderId="0"/>
  </cellStyleXfs>
  <cellXfs count="3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2" applyAlignment="1">
      <alignment vertical="center" wrapText="1"/>
    </xf>
    <xf numFmtId="0" fontId="5" fillId="0" borderId="0" xfId="2"/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4" fillId="0" borderId="0" xfId="0" applyFont="1" applyAlignment="1">
      <alignment vertical="top"/>
    </xf>
    <xf numFmtId="0" fontId="0" fillId="0" borderId="1" xfId="0" applyBorder="1" applyAlignment="1">
      <alignment horizontal="right"/>
    </xf>
    <xf numFmtId="0" fontId="6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6" fillId="9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0" fontId="6" fillId="10" borderId="1" xfId="0" applyFont="1" applyFill="1" applyBorder="1"/>
    <xf numFmtId="0" fontId="0" fillId="11" borderId="1" xfId="0" applyFill="1" applyBorder="1"/>
    <xf numFmtId="0" fontId="0" fillId="12" borderId="1" xfId="0" applyFill="1" applyBorder="1"/>
    <xf numFmtId="0" fontId="6" fillId="10" borderId="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0" borderId="0" xfId="0" applyFont="1" applyBorder="1" applyAlignment="1"/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2" fontId="1" fillId="0" borderId="1" xfId="1" applyNumberFormat="1" applyBorder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WhatsApp%20Image%202026-06-16%20at%2021.46.43.jpeg" TargetMode="External"/><Relationship Id="rId1" Type="http://schemas.openxmlformats.org/officeDocument/2006/relationships/hyperlink" Target="WhatsApp%20Image%202026-06-16%20at%2021.46.44.jpe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zoomScaleNormal="100" workbookViewId="0">
      <selection activeCell="L5" sqref="L5"/>
    </sheetView>
  </sheetViews>
  <sheetFormatPr defaultColWidth="8.7109375" defaultRowHeight="15"/>
  <cols>
    <col min="1" max="1" width="6.42578125" customWidth="1"/>
    <col min="10" max="12" width="16.85546875" customWidth="1"/>
  </cols>
  <sheetData>
    <row r="1" spans="1:14" ht="6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45" customHeight="1">
      <c r="A2" s="4" t="s">
        <v>14</v>
      </c>
      <c r="B2" s="4" t="s">
        <v>15</v>
      </c>
      <c r="C2" s="4" t="s">
        <v>16</v>
      </c>
      <c r="D2" s="4" t="s">
        <v>17</v>
      </c>
      <c r="E2" s="4" t="s">
        <v>17</v>
      </c>
      <c r="F2" s="4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6" t="s">
        <v>15</v>
      </c>
      <c r="N2" s="5" t="s">
        <v>25</v>
      </c>
    </row>
    <row r="3" spans="1:14" ht="60" customHeight="1">
      <c r="A3" s="4" t="s">
        <v>26</v>
      </c>
      <c r="B3" s="4" t="s">
        <v>27</v>
      </c>
      <c r="C3" s="4" t="s">
        <v>16</v>
      </c>
      <c r="D3" s="4" t="s">
        <v>17</v>
      </c>
      <c r="E3" s="4" t="s">
        <v>17</v>
      </c>
      <c r="F3" s="4" t="s">
        <v>18</v>
      </c>
      <c r="G3" s="5" t="s">
        <v>28</v>
      </c>
      <c r="H3" s="5" t="s">
        <v>29</v>
      </c>
      <c r="I3" s="5" t="s">
        <v>30</v>
      </c>
      <c r="J3" s="5" t="s">
        <v>31</v>
      </c>
      <c r="K3" s="5" t="s">
        <v>23</v>
      </c>
      <c r="L3" s="5" t="s">
        <v>32</v>
      </c>
      <c r="M3" s="7" t="str">
        <f>C3</f>
        <v>Bithri Chainpur</v>
      </c>
      <c r="N3" s="5" t="s">
        <v>33</v>
      </c>
    </row>
  </sheetData>
  <hyperlinks>
    <hyperlink ref="M2" r:id="rId1" xr:uid="{00000000-0004-0000-0000-000000000000}"/>
    <hyperlink ref="M3" r:id="rId2" display="file:///home/claude/WhatsApp%20Image%202026-06-16%20at%2021.46.43.jpeg" xr:uid="{00000000-0004-0000-0000-000001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zoomScaleNormal="100" workbookViewId="0">
      <selection activeCell="B5" sqref="B5"/>
    </sheetView>
  </sheetViews>
  <sheetFormatPr defaultColWidth="8.7109375" defaultRowHeight="15"/>
  <sheetData>
    <row r="1" spans="1:3" ht="30" customHeight="1">
      <c r="A1" s="2" t="s">
        <v>34</v>
      </c>
      <c r="B1" s="2" t="s">
        <v>0</v>
      </c>
      <c r="C1" s="2" t="s">
        <v>35</v>
      </c>
    </row>
    <row r="2" spans="1:3" ht="15" customHeight="1">
      <c r="A2" s="4" t="s">
        <v>36</v>
      </c>
      <c r="B2" s="4" t="s">
        <v>14</v>
      </c>
      <c r="C2" s="4" t="s">
        <v>15</v>
      </c>
    </row>
    <row r="3" spans="1:3" ht="15" customHeight="1">
      <c r="A3" s="4" t="s">
        <v>37</v>
      </c>
      <c r="B3" s="4" t="s">
        <v>26</v>
      </c>
      <c r="C3" s="4" t="s">
        <v>27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zoomScaleNormal="100" workbookViewId="0">
      <selection activeCell="H1" sqref="H1"/>
    </sheetView>
  </sheetViews>
  <sheetFormatPr defaultColWidth="8.7109375" defaultRowHeight="15"/>
  <sheetData>
    <row r="1" spans="1:8" ht="30" customHeight="1">
      <c r="A1" s="2" t="s">
        <v>38</v>
      </c>
      <c r="B1" s="2" t="s">
        <v>34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</row>
    <row r="2" spans="1:8" ht="15" customHeight="1">
      <c r="A2" s="4" t="s">
        <v>45</v>
      </c>
      <c r="B2" s="4" t="s">
        <v>36</v>
      </c>
      <c r="C2" s="4">
        <v>271</v>
      </c>
      <c r="D2" s="4">
        <v>271</v>
      </c>
      <c r="E2" s="4">
        <v>848</v>
      </c>
      <c r="F2" s="4">
        <v>443</v>
      </c>
      <c r="G2" s="4">
        <v>405</v>
      </c>
      <c r="H2" t="s">
        <v>46</v>
      </c>
    </row>
    <row r="3" spans="1:8" ht="15" customHeight="1">
      <c r="A3" s="4" t="s">
        <v>47</v>
      </c>
      <c r="B3" s="4" t="s">
        <v>36</v>
      </c>
      <c r="C3" s="4">
        <v>272</v>
      </c>
      <c r="D3" s="4">
        <v>272</v>
      </c>
      <c r="E3" s="4">
        <v>833</v>
      </c>
      <c r="F3" s="4">
        <v>433</v>
      </c>
      <c r="G3" s="4">
        <v>400</v>
      </c>
      <c r="H3" t="s">
        <v>48</v>
      </c>
    </row>
    <row r="4" spans="1:8" ht="15" customHeight="1">
      <c r="A4" s="4" t="s">
        <v>49</v>
      </c>
      <c r="B4" s="4" t="s">
        <v>36</v>
      </c>
      <c r="C4" s="4">
        <v>273</v>
      </c>
      <c r="D4" s="4">
        <v>273</v>
      </c>
      <c r="E4" s="4">
        <v>1084</v>
      </c>
      <c r="F4" s="4">
        <v>586</v>
      </c>
      <c r="G4" s="4">
        <v>498</v>
      </c>
      <c r="H4" t="s">
        <v>48</v>
      </c>
    </row>
    <row r="5" spans="1:8" ht="15" customHeight="1">
      <c r="A5" s="4" t="s">
        <v>50</v>
      </c>
      <c r="B5" s="4" t="s">
        <v>37</v>
      </c>
      <c r="C5" s="4">
        <v>402</v>
      </c>
      <c r="D5" s="4">
        <v>409</v>
      </c>
      <c r="E5" s="4">
        <v>913</v>
      </c>
      <c r="F5" s="4">
        <v>497</v>
      </c>
      <c r="G5" s="4">
        <v>416</v>
      </c>
      <c r="H5" t="s">
        <v>51</v>
      </c>
    </row>
    <row r="6" spans="1:8" ht="15" customHeight="1">
      <c r="A6" s="4" t="s">
        <v>52</v>
      </c>
      <c r="B6" s="4" t="s">
        <v>37</v>
      </c>
      <c r="C6" s="4">
        <v>403</v>
      </c>
      <c r="D6" s="4">
        <v>410</v>
      </c>
      <c r="E6" s="4">
        <v>890</v>
      </c>
      <c r="F6" s="4">
        <v>489</v>
      </c>
      <c r="G6" s="4">
        <v>401</v>
      </c>
      <c r="H6" t="s">
        <v>51</v>
      </c>
    </row>
    <row r="7" spans="1:8" ht="15" customHeight="1">
      <c r="A7" s="4" t="s">
        <v>53</v>
      </c>
      <c r="B7" s="4" t="s">
        <v>37</v>
      </c>
      <c r="C7" s="4">
        <v>404</v>
      </c>
      <c r="D7" s="4">
        <v>411</v>
      </c>
      <c r="E7" s="4">
        <v>991</v>
      </c>
      <c r="F7" s="4">
        <v>542</v>
      </c>
      <c r="G7" s="4">
        <v>449</v>
      </c>
      <c r="H7" t="s">
        <v>51</v>
      </c>
    </row>
    <row r="8" spans="1:8" ht="15" customHeight="1"/>
    <row r="9" spans="1:8" ht="15" customHeight="1"/>
    <row r="10" spans="1:8" ht="15" customHeight="1"/>
    <row r="11" spans="1:8" ht="15" customHeight="1"/>
    <row r="12" spans="1:8" ht="15" customHeight="1"/>
    <row r="13" spans="1:8" ht="15" customHeight="1"/>
    <row r="14" spans="1:8" ht="15" customHeight="1"/>
    <row r="15" spans="1:8" ht="15" customHeight="1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zoomScaleNormal="100" workbookViewId="0">
      <selection activeCell="E7" sqref="E7"/>
    </sheetView>
  </sheetViews>
  <sheetFormatPr defaultColWidth="8.7109375" defaultRowHeight="15"/>
  <sheetData>
    <row r="1" spans="1:5" ht="30" customHeight="1">
      <c r="A1" s="2" t="s">
        <v>54</v>
      </c>
      <c r="B1" s="2" t="s">
        <v>38</v>
      </c>
      <c r="C1" s="2" t="s">
        <v>55</v>
      </c>
      <c r="D1" s="2" t="s">
        <v>56</v>
      </c>
      <c r="E1" s="2" t="s">
        <v>57</v>
      </c>
    </row>
    <row r="2" spans="1:5" ht="15" customHeight="1">
      <c r="A2" s="4" t="s">
        <v>58</v>
      </c>
      <c r="B2" s="4" t="s">
        <v>45</v>
      </c>
      <c r="C2" s="4">
        <v>310</v>
      </c>
      <c r="D2" s="4">
        <v>250</v>
      </c>
      <c r="E2" s="4">
        <v>120</v>
      </c>
    </row>
    <row r="3" spans="1:5" ht="15" customHeight="1">
      <c r="A3" s="4" t="s">
        <v>59</v>
      </c>
      <c r="B3" s="4" t="s">
        <v>47</v>
      </c>
      <c r="C3" s="4">
        <v>100</v>
      </c>
      <c r="D3" s="4">
        <v>270</v>
      </c>
      <c r="E3" s="4">
        <v>100</v>
      </c>
    </row>
    <row r="4" spans="1:5" ht="15" customHeight="1">
      <c r="A4" s="4" t="s">
        <v>60</v>
      </c>
      <c r="B4" s="4" t="s">
        <v>49</v>
      </c>
      <c r="C4" s="4">
        <v>180</v>
      </c>
      <c r="D4" s="4">
        <v>300</v>
      </c>
      <c r="E4" s="4">
        <v>90</v>
      </c>
    </row>
    <row r="5" spans="1:5" ht="15" customHeight="1">
      <c r="A5" s="4" t="s">
        <v>61</v>
      </c>
      <c r="B5" s="4" t="s">
        <v>50</v>
      </c>
      <c r="C5" s="4">
        <v>35</v>
      </c>
      <c r="D5" s="4">
        <v>430</v>
      </c>
      <c r="E5" s="4">
        <v>98</v>
      </c>
    </row>
    <row r="6" spans="1:5" ht="15" customHeight="1">
      <c r="A6" s="4" t="s">
        <v>62</v>
      </c>
      <c r="B6" s="4" t="s">
        <v>52</v>
      </c>
      <c r="C6" s="4">
        <v>92</v>
      </c>
      <c r="D6" s="4">
        <v>356</v>
      </c>
      <c r="E6" s="4">
        <v>205</v>
      </c>
    </row>
    <row r="7" spans="1:5" ht="15" customHeight="1">
      <c r="A7" s="4" t="s">
        <v>63</v>
      </c>
      <c r="B7" s="4" t="s">
        <v>53</v>
      </c>
      <c r="C7" s="4">
        <v>15</v>
      </c>
      <c r="D7" s="4">
        <v>499</v>
      </c>
      <c r="E7" s="4">
        <v>158</v>
      </c>
    </row>
    <row r="8" spans="1:5" ht="15" customHeight="1">
      <c r="A8" s="4"/>
      <c r="B8" s="4"/>
      <c r="C8" s="4"/>
      <c r="D8" s="4"/>
      <c r="E8" s="4"/>
    </row>
    <row r="9" spans="1:5" ht="15" customHeight="1">
      <c r="A9" s="4"/>
      <c r="B9" s="4"/>
      <c r="C9" s="4"/>
      <c r="D9" s="4"/>
      <c r="E9" s="4"/>
    </row>
    <row r="10" spans="1:5" ht="15" customHeight="1">
      <c r="A10" s="4"/>
      <c r="B10" s="4"/>
      <c r="C10" s="4"/>
      <c r="D10" s="4"/>
      <c r="E10" s="4"/>
    </row>
    <row r="11" spans="1:5" ht="15" customHeight="1">
      <c r="A11" s="4"/>
      <c r="B11" s="4"/>
      <c r="C11" s="4"/>
      <c r="D11" s="4"/>
      <c r="E11" s="4"/>
    </row>
    <row r="12" spans="1:5" ht="15" customHeight="1">
      <c r="A12" s="4"/>
      <c r="B12" s="4"/>
      <c r="C12" s="4"/>
      <c r="D12" s="4"/>
      <c r="E12" s="4"/>
    </row>
    <row r="13" spans="1:5" ht="15" customHeight="1">
      <c r="A13" s="4"/>
      <c r="B13" s="4"/>
      <c r="C13" s="4"/>
      <c r="D13" s="4"/>
      <c r="E13" s="4"/>
    </row>
    <row r="14" spans="1:5" ht="15" customHeight="1">
      <c r="A14" s="4"/>
      <c r="B14" s="4"/>
      <c r="C14" s="4"/>
      <c r="D14" s="4"/>
      <c r="E14" s="4"/>
    </row>
    <row r="15" spans="1:5" ht="15" customHeight="1">
      <c r="A15" s="4"/>
      <c r="B15" s="4"/>
      <c r="C15" s="4"/>
      <c r="D15" s="4"/>
      <c r="E15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topLeftCell="A13" zoomScaleNormal="100" workbookViewId="0">
      <selection activeCell="G19" sqref="G19"/>
    </sheetView>
  </sheetViews>
  <sheetFormatPr defaultColWidth="8.7109375" defaultRowHeight="15"/>
  <sheetData>
    <row r="1" spans="1:5" ht="30" customHeight="1">
      <c r="A1" s="2" t="s">
        <v>64</v>
      </c>
      <c r="B1" s="2" t="s">
        <v>34</v>
      </c>
      <c r="C1" s="2" t="s">
        <v>65</v>
      </c>
      <c r="D1" s="2" t="s">
        <v>66</v>
      </c>
      <c r="E1" s="2" t="s">
        <v>67</v>
      </c>
    </row>
    <row r="2" spans="1:5" ht="15" customHeight="1">
      <c r="A2" s="4" t="s">
        <v>68</v>
      </c>
      <c r="B2" s="4" t="s">
        <v>36</v>
      </c>
      <c r="C2" s="4" t="s">
        <v>69</v>
      </c>
      <c r="D2" s="4" t="s">
        <v>70</v>
      </c>
      <c r="E2" s="4">
        <v>65</v>
      </c>
    </row>
    <row r="3" spans="1:5" ht="15" customHeight="1">
      <c r="A3" s="4" t="s">
        <v>71</v>
      </c>
      <c r="B3" s="4" t="s">
        <v>36</v>
      </c>
      <c r="C3" s="4" t="s">
        <v>69</v>
      </c>
      <c r="D3" s="4" t="s">
        <v>72</v>
      </c>
      <c r="E3" s="4">
        <v>23</v>
      </c>
    </row>
    <row r="4" spans="1:5" ht="15" customHeight="1">
      <c r="A4" s="4" t="s">
        <v>73</v>
      </c>
      <c r="B4" s="4" t="s">
        <v>36</v>
      </c>
      <c r="C4" s="4" t="s">
        <v>69</v>
      </c>
      <c r="D4" s="4" t="s">
        <v>74</v>
      </c>
      <c r="E4" s="4">
        <v>750</v>
      </c>
    </row>
    <row r="5" spans="1:5" ht="15" customHeight="1">
      <c r="A5" s="4" t="s">
        <v>75</v>
      </c>
      <c r="B5" s="4" t="s">
        <v>36</v>
      </c>
      <c r="C5" s="4" t="s">
        <v>69</v>
      </c>
      <c r="D5" s="4" t="s">
        <v>76</v>
      </c>
      <c r="E5" s="4">
        <v>90</v>
      </c>
    </row>
    <row r="6" spans="1:5" ht="15" customHeight="1">
      <c r="A6" s="4" t="s">
        <v>77</v>
      </c>
      <c r="B6" s="4" t="s">
        <v>36</v>
      </c>
      <c r="C6" s="4" t="s">
        <v>69</v>
      </c>
      <c r="D6" s="4" t="s">
        <v>78</v>
      </c>
      <c r="E6" s="4">
        <v>100</v>
      </c>
    </row>
    <row r="7" spans="1:5" ht="15" customHeight="1">
      <c r="A7" s="4" t="s">
        <v>79</v>
      </c>
      <c r="B7" s="4" t="s">
        <v>36</v>
      </c>
      <c r="C7" s="4" t="s">
        <v>80</v>
      </c>
      <c r="D7" s="4" t="s">
        <v>81</v>
      </c>
      <c r="E7" s="4">
        <v>60</v>
      </c>
    </row>
    <row r="8" spans="1:5" ht="15" customHeight="1">
      <c r="A8" s="4" t="s">
        <v>82</v>
      </c>
      <c r="B8" s="4" t="s">
        <v>36</v>
      </c>
      <c r="C8" s="4" t="s">
        <v>80</v>
      </c>
      <c r="D8" s="4" t="s">
        <v>83</v>
      </c>
      <c r="E8" s="4">
        <v>1000</v>
      </c>
    </row>
    <row r="9" spans="1:5">
      <c r="A9" s="4" t="s">
        <v>84</v>
      </c>
      <c r="B9" s="4" t="s">
        <v>36</v>
      </c>
      <c r="C9" s="4" t="s">
        <v>80</v>
      </c>
      <c r="D9" s="4" t="s">
        <v>85</v>
      </c>
      <c r="E9" s="4">
        <v>450</v>
      </c>
    </row>
    <row r="10" spans="1:5">
      <c r="A10" s="4" t="s">
        <v>86</v>
      </c>
      <c r="B10" s="4" t="s">
        <v>36</v>
      </c>
      <c r="C10" s="4" t="s">
        <v>80</v>
      </c>
      <c r="D10" s="4" t="s">
        <v>87</v>
      </c>
      <c r="E10" s="4">
        <v>400</v>
      </c>
    </row>
    <row r="11" spans="1:5">
      <c r="A11" s="4" t="s">
        <v>88</v>
      </c>
      <c r="B11" s="4" t="s">
        <v>37</v>
      </c>
      <c r="C11" s="4" t="s">
        <v>69</v>
      </c>
      <c r="D11" s="4" t="s">
        <v>89</v>
      </c>
      <c r="E11" s="4">
        <v>30</v>
      </c>
    </row>
    <row r="12" spans="1:5">
      <c r="A12" s="4" t="s">
        <v>90</v>
      </c>
      <c r="B12" s="4" t="s">
        <v>37</v>
      </c>
      <c r="C12" s="4" t="s">
        <v>69</v>
      </c>
      <c r="D12" s="4" t="s">
        <v>91</v>
      </c>
      <c r="E12" s="4">
        <v>100</v>
      </c>
    </row>
    <row r="13" spans="1:5">
      <c r="A13" s="4" t="s">
        <v>92</v>
      </c>
      <c r="B13" s="4" t="s">
        <v>37</v>
      </c>
      <c r="C13" s="4" t="s">
        <v>69</v>
      </c>
      <c r="D13" s="4" t="s">
        <v>76</v>
      </c>
      <c r="E13" s="4">
        <v>420</v>
      </c>
    </row>
    <row r="14" spans="1:5">
      <c r="A14" s="4" t="s">
        <v>93</v>
      </c>
      <c r="B14" s="4" t="s">
        <v>37</v>
      </c>
      <c r="C14" s="4" t="s">
        <v>80</v>
      </c>
      <c r="D14" s="4" t="s">
        <v>83</v>
      </c>
      <c r="E14" s="4">
        <v>700</v>
      </c>
    </row>
    <row r="15" spans="1:5">
      <c r="A15" s="4" t="s">
        <v>94</v>
      </c>
      <c r="B15" s="4" t="s">
        <v>37</v>
      </c>
      <c r="C15" s="4" t="s">
        <v>80</v>
      </c>
      <c r="D15" s="4" t="s">
        <v>87</v>
      </c>
      <c r="E15" s="4">
        <v>550</v>
      </c>
    </row>
    <row r="16" spans="1:5">
      <c r="A16" s="4" t="s">
        <v>95</v>
      </c>
      <c r="B16" s="4" t="s">
        <v>37</v>
      </c>
      <c r="C16" s="4" t="s">
        <v>80</v>
      </c>
      <c r="D16" s="4" t="s">
        <v>96</v>
      </c>
      <c r="E16" s="4">
        <v>650</v>
      </c>
    </row>
    <row r="17" spans="1:5">
      <c r="A17" s="4" t="s">
        <v>97</v>
      </c>
      <c r="B17" s="4" t="s">
        <v>37</v>
      </c>
      <c r="C17" s="4" t="s">
        <v>80</v>
      </c>
      <c r="D17" s="4" t="s">
        <v>98</v>
      </c>
      <c r="E17" s="4">
        <v>90</v>
      </c>
    </row>
    <row r="18" spans="1:5">
      <c r="A18" s="4" t="s">
        <v>99</v>
      </c>
      <c r="B18" s="4" t="s">
        <v>37</v>
      </c>
      <c r="C18" s="4" t="s">
        <v>80</v>
      </c>
      <c r="D18" s="4" t="s">
        <v>100</v>
      </c>
      <c r="E18" s="4">
        <v>70</v>
      </c>
    </row>
    <row r="19" spans="1:5">
      <c r="A19" s="4" t="s">
        <v>101</v>
      </c>
      <c r="B19" s="4" t="s">
        <v>37</v>
      </c>
      <c r="C19" s="4" t="s">
        <v>80</v>
      </c>
      <c r="D19" s="4" t="s">
        <v>102</v>
      </c>
      <c r="E19" s="4">
        <v>80</v>
      </c>
    </row>
    <row r="20" spans="1:5">
      <c r="A20" s="4" t="s">
        <v>103</v>
      </c>
      <c r="B20" s="4" t="s">
        <v>37</v>
      </c>
      <c r="C20" s="4" t="s">
        <v>80</v>
      </c>
      <c r="D20" s="4" t="s">
        <v>104</v>
      </c>
      <c r="E20" s="4">
        <v>60</v>
      </c>
    </row>
    <row r="21" spans="1:5">
      <c r="A21" s="4" t="s">
        <v>105</v>
      </c>
      <c r="B21" s="4" t="s">
        <v>106</v>
      </c>
      <c r="C21" s="4" t="s">
        <v>80</v>
      </c>
      <c r="D21" s="4" t="s">
        <v>78</v>
      </c>
      <c r="E21" s="4">
        <v>44</v>
      </c>
    </row>
    <row r="22" spans="1:5">
      <c r="A22" s="4" t="s">
        <v>107</v>
      </c>
    </row>
    <row r="23" spans="1:5">
      <c r="A23" s="4" t="s">
        <v>108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3"/>
  <sheetViews>
    <sheetView zoomScaleNormal="100" workbookViewId="0">
      <selection activeCell="F23" sqref="F23"/>
    </sheetView>
  </sheetViews>
  <sheetFormatPr defaultColWidth="8.7109375" defaultRowHeight="15"/>
  <cols>
    <col min="5" max="5" width="11" customWidth="1"/>
    <col min="6" max="6" width="21.28515625" customWidth="1"/>
  </cols>
  <sheetData>
    <row r="1" spans="1:14" ht="30" customHeight="1">
      <c r="A1" s="2" t="s">
        <v>109</v>
      </c>
      <c r="B1" s="2" t="s">
        <v>34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</row>
    <row r="2" spans="1:14" ht="30" customHeight="1">
      <c r="A2" s="4" t="s">
        <v>115</v>
      </c>
      <c r="B2" s="4" t="s">
        <v>36</v>
      </c>
      <c r="C2" s="4" t="s">
        <v>116</v>
      </c>
      <c r="D2" s="4" t="s">
        <v>117</v>
      </c>
      <c r="E2" s="4">
        <v>9568519505</v>
      </c>
      <c r="F2" s="4" t="s">
        <v>23</v>
      </c>
      <c r="G2" s="4" t="s">
        <v>83</v>
      </c>
    </row>
    <row r="3" spans="1:14" ht="30" customHeight="1">
      <c r="A3" s="4" t="s">
        <v>118</v>
      </c>
      <c r="B3" s="4" t="s">
        <v>36</v>
      </c>
      <c r="C3" s="4" t="s">
        <v>119</v>
      </c>
      <c r="D3" s="4" t="s">
        <v>120</v>
      </c>
      <c r="E3" s="4">
        <v>8057279190</v>
      </c>
      <c r="F3" s="4" t="s">
        <v>24</v>
      </c>
      <c r="G3" s="4" t="s">
        <v>74</v>
      </c>
    </row>
    <row r="4" spans="1:14" ht="30" customHeight="1">
      <c r="A4" s="4" t="s">
        <v>121</v>
      </c>
      <c r="B4" s="4" t="s">
        <v>36</v>
      </c>
      <c r="C4" s="4" t="s">
        <v>122</v>
      </c>
      <c r="D4" s="4" t="s">
        <v>123</v>
      </c>
      <c r="E4" s="4">
        <v>7819813309</v>
      </c>
      <c r="F4" s="4" t="s">
        <v>23</v>
      </c>
      <c r="G4" s="4" t="s">
        <v>83</v>
      </c>
    </row>
    <row r="5" spans="1:14" ht="30" customHeight="1">
      <c r="A5" s="4" t="s">
        <v>124</v>
      </c>
      <c r="B5" s="4" t="s">
        <v>36</v>
      </c>
      <c r="C5" s="4" t="s">
        <v>125</v>
      </c>
      <c r="D5" s="4" t="s">
        <v>120</v>
      </c>
      <c r="E5" s="4">
        <v>9837015646</v>
      </c>
      <c r="F5" s="4" t="s">
        <v>23</v>
      </c>
      <c r="G5" s="4" t="s">
        <v>83</v>
      </c>
    </row>
    <row r="6" spans="1:14" ht="30" customHeight="1">
      <c r="A6" s="4" t="s">
        <v>126</v>
      </c>
      <c r="B6" s="4" t="s">
        <v>36</v>
      </c>
      <c r="C6" s="4" t="s">
        <v>127</v>
      </c>
      <c r="D6" s="4" t="s">
        <v>128</v>
      </c>
      <c r="E6" s="4">
        <v>9837386659</v>
      </c>
      <c r="F6" s="4" t="s">
        <v>23</v>
      </c>
      <c r="G6" s="4" t="s">
        <v>85</v>
      </c>
      <c r="I6" t="str">
        <f t="shared" ref="I6:N9" si="0">IFERROR(INDEX(A$2:A$7, SMALL(IF($B$2:$B$7=$G$2, ROW($B$2:$B$7)-ROW($B$2)+1), ROW(2:2))), "")</f>
        <v/>
      </c>
      <c r="J6" t="str">
        <f t="shared" si="0"/>
        <v/>
      </c>
      <c r="K6" t="str">
        <f t="shared" si="0"/>
        <v/>
      </c>
      <c r="L6" t="str">
        <f t="shared" si="0"/>
        <v/>
      </c>
      <c r="M6" t="str">
        <f t="shared" si="0"/>
        <v/>
      </c>
      <c r="N6" t="str">
        <f t="shared" si="0"/>
        <v/>
      </c>
    </row>
    <row r="7" spans="1:14" ht="30" customHeight="1">
      <c r="A7" s="4" t="s">
        <v>129</v>
      </c>
      <c r="B7" s="4" t="s">
        <v>36</v>
      </c>
      <c r="C7" s="4" t="s">
        <v>130</v>
      </c>
      <c r="D7" s="4" t="s">
        <v>131</v>
      </c>
      <c r="E7" s="4">
        <v>9917621151</v>
      </c>
      <c r="F7" s="4" t="s">
        <v>23</v>
      </c>
      <c r="G7" s="4" t="s">
        <v>85</v>
      </c>
      <c r="I7" t="str">
        <f t="shared" si="0"/>
        <v/>
      </c>
      <c r="J7" t="str">
        <f t="shared" si="0"/>
        <v/>
      </c>
      <c r="K7" t="str">
        <f t="shared" si="0"/>
        <v/>
      </c>
      <c r="L7" t="str">
        <f t="shared" si="0"/>
        <v/>
      </c>
      <c r="M7" t="str">
        <f t="shared" si="0"/>
        <v/>
      </c>
      <c r="N7" t="str">
        <f t="shared" si="0"/>
        <v/>
      </c>
    </row>
    <row r="8" spans="1:14" ht="45" customHeight="1">
      <c r="A8" s="4" t="s">
        <v>132</v>
      </c>
      <c r="B8" s="4" t="s">
        <v>36</v>
      </c>
      <c r="C8" s="4" t="s">
        <v>133</v>
      </c>
      <c r="D8" s="4" t="s">
        <v>123</v>
      </c>
      <c r="E8">
        <v>7248649786</v>
      </c>
      <c r="F8" s="4" t="s">
        <v>23</v>
      </c>
      <c r="G8" s="4" t="s">
        <v>83</v>
      </c>
      <c r="I8" t="str">
        <f t="shared" si="0"/>
        <v/>
      </c>
      <c r="J8" t="str">
        <f t="shared" si="0"/>
        <v/>
      </c>
      <c r="K8" t="str">
        <f t="shared" si="0"/>
        <v/>
      </c>
      <c r="L8" t="str">
        <f t="shared" si="0"/>
        <v/>
      </c>
      <c r="M8" t="str">
        <f t="shared" si="0"/>
        <v/>
      </c>
      <c r="N8" t="str">
        <f t="shared" si="0"/>
        <v/>
      </c>
    </row>
    <row r="9" spans="1:14" ht="30" customHeight="1">
      <c r="A9" s="4" t="s">
        <v>134</v>
      </c>
      <c r="B9" s="4" t="s">
        <v>36</v>
      </c>
      <c r="C9" s="4" t="s">
        <v>135</v>
      </c>
      <c r="D9" s="4" t="s">
        <v>136</v>
      </c>
      <c r="E9">
        <v>6398301238</v>
      </c>
      <c r="F9" s="4" t="s">
        <v>24</v>
      </c>
      <c r="G9" s="4" t="s">
        <v>74</v>
      </c>
      <c r="I9" t="str">
        <f t="shared" si="0"/>
        <v/>
      </c>
      <c r="J9" t="str">
        <f t="shared" si="0"/>
        <v/>
      </c>
      <c r="K9" t="str">
        <f t="shared" si="0"/>
        <v/>
      </c>
      <c r="L9" t="str">
        <f t="shared" si="0"/>
        <v/>
      </c>
      <c r="M9" t="str">
        <f t="shared" si="0"/>
        <v/>
      </c>
      <c r="N9" t="str">
        <f t="shared" si="0"/>
        <v/>
      </c>
    </row>
    <row r="10" spans="1:14" ht="15" customHeight="1">
      <c r="A10" s="4" t="s">
        <v>137</v>
      </c>
      <c r="B10" s="4" t="s">
        <v>36</v>
      </c>
      <c r="C10" s="4" t="s">
        <v>138</v>
      </c>
      <c r="D10" s="4" t="s">
        <v>136</v>
      </c>
      <c r="E10">
        <v>7500169804</v>
      </c>
      <c r="F10" s="4" t="s">
        <v>24</v>
      </c>
      <c r="G10" s="4" t="s">
        <v>78</v>
      </c>
    </row>
    <row r="11" spans="1:14" ht="30" customHeight="1">
      <c r="A11" s="4" t="s">
        <v>139</v>
      </c>
      <c r="B11" s="4" t="s">
        <v>36</v>
      </c>
      <c r="C11" s="4" t="s">
        <v>140</v>
      </c>
      <c r="D11" s="4" t="s">
        <v>136</v>
      </c>
      <c r="E11">
        <v>9756613457</v>
      </c>
      <c r="F11" s="4" t="s">
        <v>24</v>
      </c>
      <c r="G11" s="4" t="s">
        <v>74</v>
      </c>
    </row>
    <row r="12" spans="1:14" ht="30" customHeight="1">
      <c r="A12" s="4" t="s">
        <v>141</v>
      </c>
      <c r="B12" s="4" t="s">
        <v>36</v>
      </c>
      <c r="C12" s="4" t="s">
        <v>142</v>
      </c>
      <c r="D12" s="4" t="s">
        <v>136</v>
      </c>
      <c r="E12">
        <v>8433147226</v>
      </c>
      <c r="F12" s="4" t="s">
        <v>23</v>
      </c>
      <c r="G12" s="4" t="s">
        <v>85</v>
      </c>
    </row>
    <row r="13" spans="1:14" ht="45" customHeight="1">
      <c r="A13" s="4" t="s">
        <v>143</v>
      </c>
      <c r="B13" s="4" t="s">
        <v>36</v>
      </c>
      <c r="C13" s="4" t="s">
        <v>144</v>
      </c>
      <c r="D13" s="4" t="s">
        <v>145</v>
      </c>
      <c r="E13">
        <v>8077458224</v>
      </c>
      <c r="F13" s="4" t="s">
        <v>23</v>
      </c>
      <c r="G13" s="4" t="s">
        <v>83</v>
      </c>
    </row>
    <row r="14" spans="1:14" ht="30" customHeight="1">
      <c r="A14" s="4" t="s">
        <v>146</v>
      </c>
      <c r="B14" s="4" t="s">
        <v>37</v>
      </c>
      <c r="C14" s="4" t="s">
        <v>147</v>
      </c>
      <c r="D14" s="4" t="s">
        <v>148</v>
      </c>
      <c r="E14">
        <v>9927112874</v>
      </c>
      <c r="F14" s="4" t="s">
        <v>23</v>
      </c>
      <c r="G14" s="4" t="s">
        <v>83</v>
      </c>
    </row>
    <row r="15" spans="1:14" ht="30" customHeight="1">
      <c r="A15" s="4" t="s">
        <v>149</v>
      </c>
      <c r="B15" s="4" t="s">
        <v>37</v>
      </c>
      <c r="C15" s="4" t="s">
        <v>150</v>
      </c>
      <c r="D15" s="4" t="s">
        <v>151</v>
      </c>
      <c r="E15">
        <v>9758715612</v>
      </c>
      <c r="F15" s="4" t="s">
        <v>23</v>
      </c>
      <c r="G15" s="4" t="s">
        <v>83</v>
      </c>
    </row>
    <row r="16" spans="1:14">
      <c r="A16" s="4" t="s">
        <v>152</v>
      </c>
      <c r="B16" s="4" t="s">
        <v>37</v>
      </c>
      <c r="C16" s="4" t="s">
        <v>153</v>
      </c>
      <c r="D16" s="4" t="s">
        <v>154</v>
      </c>
      <c r="E16">
        <v>8439913072</v>
      </c>
      <c r="F16" s="4" t="s">
        <v>24</v>
      </c>
      <c r="G16" s="4" t="s">
        <v>91</v>
      </c>
    </row>
    <row r="17" spans="1:7">
      <c r="A17" s="4" t="s">
        <v>155</v>
      </c>
      <c r="B17" s="4" t="s">
        <v>37</v>
      </c>
      <c r="C17" s="4" t="s">
        <v>156</v>
      </c>
      <c r="D17" s="4" t="s">
        <v>157</v>
      </c>
      <c r="E17">
        <v>7906608522</v>
      </c>
      <c r="F17" s="4" t="s">
        <v>32</v>
      </c>
      <c r="G17" s="4" t="s">
        <v>76</v>
      </c>
    </row>
    <row r="18" spans="1:7" ht="30" customHeight="1">
      <c r="A18" s="4" t="s">
        <v>158</v>
      </c>
      <c r="B18" s="4" t="s">
        <v>37</v>
      </c>
      <c r="C18" s="4" t="s">
        <v>159</v>
      </c>
      <c r="D18" s="4" t="s">
        <v>160</v>
      </c>
      <c r="E18">
        <v>9526275587</v>
      </c>
      <c r="F18" s="4" t="s">
        <v>32</v>
      </c>
      <c r="G18" s="4" t="s">
        <v>76</v>
      </c>
    </row>
    <row r="19" spans="1:7" ht="30" customHeight="1">
      <c r="A19" s="4" t="s">
        <v>161</v>
      </c>
      <c r="B19" s="4" t="s">
        <v>37</v>
      </c>
      <c r="C19" s="4" t="s">
        <v>162</v>
      </c>
      <c r="D19" s="4" t="s">
        <v>163</v>
      </c>
      <c r="E19">
        <v>9368506104</v>
      </c>
      <c r="F19" s="4" t="s">
        <v>23</v>
      </c>
      <c r="G19" s="4" t="s">
        <v>96</v>
      </c>
    </row>
    <row r="20" spans="1:7" ht="30" customHeight="1">
      <c r="A20" s="4" t="s">
        <v>164</v>
      </c>
      <c r="B20" s="4" t="s">
        <v>37</v>
      </c>
      <c r="C20" s="4" t="s">
        <v>165</v>
      </c>
      <c r="D20" s="4" t="s">
        <v>166</v>
      </c>
      <c r="E20">
        <v>9758599444</v>
      </c>
      <c r="F20" s="4" t="s">
        <v>23</v>
      </c>
      <c r="G20" s="4" t="s">
        <v>83</v>
      </c>
    </row>
    <row r="21" spans="1:7" ht="30" customHeight="1">
      <c r="A21" s="4" t="s">
        <v>167</v>
      </c>
      <c r="B21" s="4" t="s">
        <v>37</v>
      </c>
      <c r="C21" s="4" t="s">
        <v>168</v>
      </c>
      <c r="D21" s="4" t="s">
        <v>136</v>
      </c>
      <c r="E21">
        <v>9675112123</v>
      </c>
      <c r="F21" s="4" t="s">
        <v>24</v>
      </c>
      <c r="G21" s="4" t="s">
        <v>91</v>
      </c>
    </row>
    <row r="22" spans="1:7" ht="30" customHeight="1">
      <c r="A22" s="4" t="s">
        <v>169</v>
      </c>
      <c r="B22" s="4" t="s">
        <v>37</v>
      </c>
      <c r="C22" s="4" t="s">
        <v>170</v>
      </c>
      <c r="D22" s="4" t="s">
        <v>136</v>
      </c>
      <c r="E22">
        <v>7500125982</v>
      </c>
      <c r="F22" s="4" t="s">
        <v>32</v>
      </c>
      <c r="G22" s="4" t="s">
        <v>76</v>
      </c>
    </row>
    <row r="23" spans="1:7" ht="30" customHeight="1">
      <c r="A23" s="4" t="s">
        <v>171</v>
      </c>
      <c r="B23" s="4" t="s">
        <v>37</v>
      </c>
      <c r="C23" s="4" t="s">
        <v>172</v>
      </c>
      <c r="D23" s="4" t="s">
        <v>173</v>
      </c>
      <c r="E23">
        <v>7617554919</v>
      </c>
      <c r="F23" s="4" t="s">
        <v>23</v>
      </c>
      <c r="G23" s="4" t="s">
        <v>80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4"/>
  <sheetViews>
    <sheetView tabSelected="1" zoomScale="52" zoomScaleNormal="83" workbookViewId="0">
      <selection activeCell="D3" sqref="D3"/>
    </sheetView>
  </sheetViews>
  <sheetFormatPr defaultColWidth="8.7109375" defaultRowHeight="15"/>
  <cols>
    <col min="1" max="1" width="15.28515625" customWidth="1"/>
    <col min="2" max="2" width="18.42578125" customWidth="1"/>
    <col min="3" max="3" width="19.7109375" customWidth="1"/>
    <col min="4" max="4" width="14" customWidth="1"/>
    <col min="5" max="5" width="10" customWidth="1"/>
    <col min="6" max="6" width="18.7109375" customWidth="1"/>
    <col min="7" max="7" width="19.7109375" customWidth="1"/>
    <col min="8" max="8" width="11.28515625" customWidth="1"/>
    <col min="9" max="9" width="11" customWidth="1"/>
    <col min="10" max="10" width="6.7109375" customWidth="1"/>
    <col min="11" max="11" width="11.5703125" customWidth="1"/>
    <col min="12" max="12" width="7.140625" customWidth="1"/>
  </cols>
  <sheetData>
    <row r="1" spans="1:12" ht="45" customHeight="1">
      <c r="A1" s="13" t="s">
        <v>174</v>
      </c>
      <c r="B1" s="13" t="s">
        <v>175</v>
      </c>
      <c r="C1" s="13" t="s">
        <v>176</v>
      </c>
      <c r="D1" s="13" t="s">
        <v>177</v>
      </c>
      <c r="E1" s="35"/>
      <c r="F1" s="9" t="s">
        <v>178</v>
      </c>
      <c r="G1" s="9" t="str">
        <f>IFERROR(INDEX(Gram_Panchayat_Master!$B:$B,MATCH($A$2,Gram_Panchayat_Master!$A:$A,0)),"")</f>
        <v>Nagariya Kalan</v>
      </c>
      <c r="H1" s="10" t="s">
        <v>179</v>
      </c>
      <c r="I1" s="9"/>
      <c r="J1" s="8" t="s">
        <v>180</v>
      </c>
      <c r="K1" s="9"/>
      <c r="L1" s="8" t="s">
        <v>181</v>
      </c>
    </row>
    <row r="2" spans="1:12" ht="35.25" customHeight="1">
      <c r="A2" s="9" t="str">
        <f>IFERROR(IF($D$2&lt;&gt;"",INDEX(Village_Master!$B:$B,MATCH(UPPER($D$2),Village_Master!$A:$A,0)),INDEX(Village_Master!$B:$B,MATCH($C$2,Village_Master!$C:$C,0))),"")</f>
        <v>GP002</v>
      </c>
      <c r="B2" s="9" t="str">
        <f>IFERROR(IF($D$2&lt;&gt;"",INDEX(Village_Master!$A:$A,MATCH(UPPER($D$2),Village_Master!$A:$A,0)),INDEX(Village_Master!$A:$A,MATCH($C$2,Village_Master!$C:$C,0))),"Not Found")</f>
        <v>V002</v>
      </c>
      <c r="C2" s="10"/>
      <c r="D2" s="10" t="s">
        <v>37</v>
      </c>
      <c r="E2" s="36"/>
      <c r="F2" s="9" t="s">
        <v>183</v>
      </c>
      <c r="G2" s="8" t="str">
        <f>IFERROR(INDEX(Gram_Panchayat_Master!$N:$N,MATCH($A$2,Gram_Panchayat_Master!$A:$A,0)),"")</f>
        <v>Vikas,Harsh,Arvind</v>
      </c>
      <c r="H2" s="9" t="str">
        <f>IFERROR(INDEX(Village_Master!$C:$C,_xlfn.AGGREGATE(15,6,ROW(Village_Master!$B$2:$B$192)/(Village_Master!$B$2:$B$192=$A$2),ROWS($H$2:H2))),"")</f>
        <v>Nagariya Kalan</v>
      </c>
      <c r="I2" s="20" t="s">
        <v>184</v>
      </c>
      <c r="J2" s="20">
        <f>SUMPRODUCT((Caste_Data!$B$2:$B$189=$B$2)*(Caste_Data!$C$2:$C$189="Hindu")*(Caste_Data!$E$2:$E$189))</f>
        <v>550</v>
      </c>
      <c r="K2" s="21" t="s">
        <v>185</v>
      </c>
      <c r="L2" s="22">
        <f>SUMPRODUCT((Caste_Data!$B$2:$B$189=$B$2)*(Caste_Data!$C$2:$C$189="Muslim")*(Caste_Data!$E$2:$E$189))</f>
        <v>2200</v>
      </c>
    </row>
    <row r="3" spans="1:12" ht="17.25" customHeight="1">
      <c r="F3" s="9" t="s">
        <v>3</v>
      </c>
      <c r="G3" s="9" t="str">
        <f>IFERROR(INDEX(Gram_Panchayat_Master!$D:$D,MATCH($A$2,Gram_Panchayat_Master!$A:$A,0)),"")</f>
        <v>Bareilly</v>
      </c>
      <c r="H3" s="9" t="str">
        <f>IFERROR(INDEX(Village_Master!$C:$C,_xlfn.AGGREGATE(15,6,ROW(Village_Master!$B$2:$B$192)/(Village_Master!$B$2:$B$192=$A$2),ROWS($H$2:H3))),"")</f>
        <v/>
      </c>
      <c r="I3" s="17" t="str">
        <f>IFERROR(INDEX(Caste_Data!$D:$D,_xlfn.AGGREGATE(15,6,ROW(Caste_Data!$B$2:$B$189)/((Caste_Data!$B$2:$B$189=$B$2)*(Caste_Data!$C$2:$C$189="Hindu")),ROWS($I$3:I3))),"")</f>
        <v>Badhai</v>
      </c>
      <c r="J3" s="23">
        <f>IF(I3="","",IFERROR(SUMPRODUCT((Caste_Data!$B$2:$B$189=$B$2)*(Caste_Data!$C$2:$C$189="Hindu")*(Caste_Data!$D$2:$D$189=I3)*(Caste_Data!$E$2:$E$189)),0))</f>
        <v>30</v>
      </c>
      <c r="K3" s="18" t="str">
        <f>IFERROR(INDEX(Caste_Data!$D:$D,_xlfn.AGGREGATE(15,6,ROW(Caste_Data!$B$2:$B$189)/((Caste_Data!$B$2:$B$189=$B$2)*(Caste_Data!$C$2:$C$189="Muslim")),ROWS($K$3:K3))),"")</f>
        <v>Anshari</v>
      </c>
      <c r="L3" s="24">
        <f>IF(K3="","",IFERROR(SUMPRODUCT((Caste_Data!$B$2:$B$189=$B$2)*(Caste_Data!$C$2:$C$189="Muslim")*(Caste_Data!$D$2:$D$189=K3)*(Caste_Data!$E$2:$E$189)),0))</f>
        <v>700</v>
      </c>
    </row>
    <row r="4" spans="1:12" ht="15" customHeight="1">
      <c r="A4" s="29" t="s">
        <v>188</v>
      </c>
      <c r="B4" s="29"/>
      <c r="C4" s="29"/>
      <c r="D4" s="29"/>
      <c r="E4" s="33"/>
      <c r="F4" s="9" t="s">
        <v>186</v>
      </c>
      <c r="G4" s="9" t="str">
        <f>IFERROR(INDEX(Gram_Panchayat_Master!$F:$F,MATCH($A$2,Gram_Panchayat_Master!$A:$A,0)),"")</f>
        <v>Bhojipura</v>
      </c>
      <c r="H4" s="9" t="str">
        <f>IFERROR(INDEX(Village_Master!$C:$C,_xlfn.AGGREGATE(15,6,ROW(Village_Master!$B$2:$B$192)/(Village_Master!$B$2:$B$192=$A$2),ROWS($H$2:H4))),"")</f>
        <v/>
      </c>
      <c r="I4" s="17" t="str">
        <f>IFERROR(INDEX(Caste_Data!$D:$D,_xlfn.AGGREGATE(15,6,ROW(Caste_Data!$B$2:$B$189)/((Caste_Data!$B$2:$B$189=$B$2)*(Caste_Data!$C$2:$C$189="Hindu")),ROWS($I$3:I4))),"")</f>
        <v>Sahu</v>
      </c>
      <c r="J4" s="23">
        <f>IF(I4="","",IFERROR(SUMPRODUCT((Caste_Data!$B$2:$B$189=$B$2)*(Caste_Data!$C$2:$C$189="Hindu")*(Caste_Data!$D$2:$D$189=I4)*(Caste_Data!$E$2:$E$189)),0))</f>
        <v>100</v>
      </c>
      <c r="K4" s="18" t="str">
        <f>IFERROR(INDEX(Caste_Data!$D:$D,_xlfn.AGGREGATE(15,6,ROW(Caste_Data!$B$2:$B$189)/((Caste_Data!$B$2:$B$189=$B$2)*(Caste_Data!$C$2:$C$189="Muslim")),ROWS($K$3:K4))),"")</f>
        <v>Alvi</v>
      </c>
      <c r="L4" s="24">
        <f>IF(K4="","",IFERROR(SUMPRODUCT((Caste_Data!$B$2:$B$189=$B$2)*(Caste_Data!$C$2:$C$189="Muslim")*(Caste_Data!$D$2:$D$189=K4)*(Caste_Data!$E$2:$E$189)),0))</f>
        <v>550</v>
      </c>
    </row>
    <row r="5" spans="1:12" ht="15" customHeight="1">
      <c r="A5" s="13" t="s">
        <v>195</v>
      </c>
      <c r="B5" s="14" t="s">
        <v>24</v>
      </c>
      <c r="C5" s="15" t="s">
        <v>23</v>
      </c>
      <c r="D5" s="16" t="s">
        <v>32</v>
      </c>
      <c r="E5" s="35"/>
      <c r="F5" s="9" t="s">
        <v>10</v>
      </c>
      <c r="G5" s="9" t="str">
        <f>IFERROR(INDEX(Gram_Panchayat_Master!$K:$K,MATCH($A$2,Gram_Panchayat_Master!$A:$A,0)),"")</f>
        <v>SP</v>
      </c>
      <c r="H5" s="9" t="str">
        <f>IFERROR(INDEX(Village_Master!$C:$C,_xlfn.AGGREGATE(15,6,ROW(Village_Master!$B$2:$B$192)/(Village_Master!$B$2:$B$192=$A$2),ROWS($H$2:H5))),"")</f>
        <v/>
      </c>
      <c r="I5" s="17" t="str">
        <f>IFERROR(INDEX(Caste_Data!$D:$D,_xlfn.AGGREGATE(15,6,ROW(Caste_Data!$B$2:$B$189)/((Caste_Data!$B$2:$B$189=$B$2)*(Caste_Data!$C$2:$C$189="Hindu")),ROWS($I$3:I5))),"")</f>
        <v>Jatav</v>
      </c>
      <c r="J5" s="23">
        <f>IF(I5="","",IFERROR(SUMPRODUCT((Caste_Data!$B$2:$B$189=$B$2)*(Caste_Data!$C$2:$C$189="Hindu")*(Caste_Data!$D$2:$D$189=I5)*(Caste_Data!$E$2:$E$189)),0))</f>
        <v>420</v>
      </c>
      <c r="K5" s="18" t="str">
        <f>IFERROR(INDEX(Caste_Data!$D:$D,_xlfn.AGGREGATE(15,6,ROW(Caste_Data!$B$2:$B$189)/((Caste_Data!$B$2:$B$189=$B$2)*(Caste_Data!$C$2:$C$189="Muslim")),ROWS($K$3:K5))),"")</f>
        <v>Mevati</v>
      </c>
      <c r="L5" s="24">
        <f>IF(K5="","",IFERROR(SUMPRODUCT((Caste_Data!$B$2:$B$189=$B$2)*(Caste_Data!$C$2:$C$189="Muslim")*(Caste_Data!$D$2:$D$189=K5)*(Caste_Data!$E$2:$E$189)),0))</f>
        <v>650</v>
      </c>
    </row>
    <row r="6" spans="1:12" ht="15" customHeight="1">
      <c r="A6" s="9">
        <f>IFERROR(INDEX(Booth_Master!$C:$C,_xlfn.AGGREGATE(15,6,ROW(Booth_Master!$B$2:$B$200)/(Booth_Master!$B$2:$B$200=$B$2),ROWS($A$6:A6))),"")</f>
        <v>402</v>
      </c>
      <c r="B6" s="17">
        <f>IFERROR(INDEX(Election_Result_2022!$C:$C,MATCH(INDEX(Booth_Master!$A:$A,_xlfn.AGGREGATE(15,6,ROW(Booth_Master!$B$2:$B$200)/(Booth_Master!$B$2:$B$200=$B$2),ROWS($A$6:A6))),Election_Result_2022!$B:$B,0)),"")</f>
        <v>35</v>
      </c>
      <c r="C6" s="18">
        <f>IFERROR(INDEX(Election_Result_2022!$D:$D,MATCH(INDEX(Booth_Master!$A:$A,_xlfn.AGGREGATE(15,6,ROW(Booth_Master!$B$2:$B$200)/(Booth_Master!$B$2:$B$200=$B$2),ROWS($A$6:A6))),Election_Result_2022!$B:$B,0)),"")</f>
        <v>430</v>
      </c>
      <c r="D6" s="19">
        <f>IFERROR(INDEX(Election_Result_2022!$E:$E,MATCH(INDEX(Booth_Master!$A:$A,_xlfn.AGGREGATE(15,6,ROW(Booth_Master!$B$2:$B$200)/(Booth_Master!$B$2:$B$200=$B$2),ROWS($A$6:A6))),Election_Result_2022!$B:$B,0)),"")</f>
        <v>98</v>
      </c>
      <c r="E6" s="34"/>
      <c r="F6" s="9" t="s">
        <v>11</v>
      </c>
      <c r="G6" s="9" t="str">
        <f>IFERROR(INDEX(Gram_Panchayat_Master!$L:$L,MATCH($A$2,Gram_Panchayat_Master!$A:$A,0)),"")</f>
        <v>BSP</v>
      </c>
      <c r="H6" s="9" t="str">
        <f>IFERROR(INDEX(Village_Master!$C:$C,_xlfn.AGGREGATE(15,6,ROW(Village_Master!$B$2:$B$192)/(Village_Master!$B$2:$B$192=$A$2),ROWS($H$2:H6))),"")</f>
        <v/>
      </c>
      <c r="I6" s="17" t="str">
        <f>IFERROR(INDEX(Caste_Data!$D:$D,_xlfn.AGGREGATE(15,6,ROW(Caste_Data!$B$2:$B$189)/((Caste_Data!$B$2:$B$189=$B$2)*(Caste_Data!$C$2:$C$189="Hindu")),ROWS($I$3:I6))),"")</f>
        <v/>
      </c>
      <c r="J6" s="23" t="str">
        <f>IF(I6="","",IFERROR(SUMPRODUCT((Caste_Data!$B$2:$B$189=$B$2)*(Caste_Data!$C$2:$C$189="Hindu")*(Caste_Data!$D$2:$D$189=I6)*(Caste_Data!$E$2:$E$189)),0))</f>
        <v/>
      </c>
      <c r="K6" s="18" t="str">
        <f>IFERROR(INDEX(Caste_Data!$D:$D,_xlfn.AGGREGATE(15,6,ROW(Caste_Data!$B$2:$B$189)/((Caste_Data!$B$2:$B$189=$B$2)*(Caste_Data!$C$2:$C$189="Muslim")),ROWS($K$3:K6))),"")</f>
        <v>Salmani</v>
      </c>
      <c r="L6" s="24">
        <f>IF(K6="","",IFERROR(SUMPRODUCT((Caste_Data!$B$2:$B$189=$B$2)*(Caste_Data!$C$2:$C$189="Muslim")*(Caste_Data!$D$2:$D$189=K6)*(Caste_Data!$E$2:$E$189)),0))</f>
        <v>90</v>
      </c>
    </row>
    <row r="7" spans="1:12" ht="15" customHeight="1">
      <c r="A7" s="9">
        <f>IFERROR(INDEX(Booth_Master!$C:$C,_xlfn.AGGREGATE(15,6,ROW(Booth_Master!$B$2:$B$200)/(Booth_Master!$B$2:$B$200=$B$2),ROWS($A$6:A7))),"")</f>
        <v>403</v>
      </c>
      <c r="B7" s="17">
        <f>IFERROR(INDEX(Election_Result_2022!$C:$C,MATCH(INDEX(Booth_Master!$A:$A,_xlfn.AGGREGATE(15,6,ROW(Booth_Master!$B$2:$B$200)/(Booth_Master!$B$2:$B$200=$B$2),ROWS($A$6:A7))),Election_Result_2022!$B:$B,0)),"")</f>
        <v>92</v>
      </c>
      <c r="C7" s="18">
        <f>IFERROR(INDEX(Election_Result_2022!$D:$D,MATCH(INDEX(Booth_Master!$A:$A,_xlfn.AGGREGATE(15,6,ROW(Booth_Master!$B$2:$B$200)/(Booth_Master!$B$2:$B$200=$B$2),ROWS($A$6:A7))),Election_Result_2022!$B:$B,0)),"")</f>
        <v>356</v>
      </c>
      <c r="D7" s="19">
        <f>IFERROR(INDEX(Election_Result_2022!$E:$E,MATCH(INDEX(Booth_Master!$A:$A,_xlfn.AGGREGATE(15,6,ROW(Booth_Master!$B$2:$B$200)/(Booth_Master!$B$2:$B$200=$B$2),ROWS($A$6:A7))),Election_Result_2022!$B:$B,0)),"")</f>
        <v>205</v>
      </c>
      <c r="E7" s="34"/>
      <c r="F7" s="9" t="s">
        <v>12</v>
      </c>
      <c r="G7" s="9" t="str">
        <f>IFERROR(HYPERLINK(INDEX(Gram_Panchayat_Master!$M:$M,MATCH($A$2,Gram_Panchayat_Master!$A:$A,0)),INDEX(Gram_Panchayat_Master!$M:$M,MATCH($A$2,Gram_Panchayat_Master!$A:$A,0))),"")</f>
        <v>Bithri Chainpur</v>
      </c>
      <c r="H7" s="9" t="str">
        <f>IFERROR(INDEX(Village_Master!$C:$C,_xlfn.AGGREGATE(15,6,ROW(Village_Master!$B$2:$B$192)/(Village_Master!$B$2:$B$192=$A$2),ROWS($H$2:H7))),"")</f>
        <v/>
      </c>
      <c r="I7" s="17" t="str">
        <f>IFERROR(INDEX(Caste_Data!$D:$D,_xlfn.AGGREGATE(15,6,ROW(Caste_Data!$B$2:$B$189)/((Caste_Data!$B$2:$B$189=$B$2)*(Caste_Data!$C$2:$C$189="Hindu")),ROWS($I$3:I7))),"")</f>
        <v/>
      </c>
      <c r="J7" s="23" t="str">
        <f>IF(I7="","",IFERROR(SUMPRODUCT((Caste_Data!$B$2:$B$189=$B$2)*(Caste_Data!$C$2:$C$189="Hindu")*(Caste_Data!$D$2:$D$189=I7)*(Caste_Data!$E$2:$E$189)),0))</f>
        <v/>
      </c>
      <c r="K7" s="18" t="str">
        <f>IFERROR(INDEX(Caste_Data!$D:$D,_xlfn.AGGREGATE(15,6,ROW(Caste_Data!$B$2:$B$189)/((Caste_Data!$B$2:$B$189=$B$2)*(Caste_Data!$C$2:$C$189="Muslim")),ROWS($K$3:K7))),"")</f>
        <v>Mansuri</v>
      </c>
      <c r="L7" s="24">
        <f>IF(K7="","",IFERROR(SUMPRODUCT((Caste_Data!$B$2:$B$189=$B$2)*(Caste_Data!$C$2:$C$189="Muslim")*(Caste_Data!$D$2:$D$189=K7)*(Caste_Data!$E$2:$E$189)),0))</f>
        <v>70</v>
      </c>
    </row>
    <row r="8" spans="1:12" ht="15" customHeight="1">
      <c r="A8" s="9">
        <f>IFERROR(INDEX(Booth_Master!$C:$C,_xlfn.AGGREGATE(15,6,ROW(Booth_Master!$B$2:$B$200)/(Booth_Master!$B$2:$B$200=$B$2),ROWS($A$6:A8))),"")</f>
        <v>404</v>
      </c>
      <c r="B8" s="17">
        <f>IFERROR(INDEX(Election_Result_2022!$C:$C,MATCH(INDEX(Booth_Master!$A:$A,_xlfn.AGGREGATE(15,6,ROW(Booth_Master!$B$2:$B$200)/(Booth_Master!$B$2:$B$200=$B$2),ROWS($A$6:A8))),Election_Result_2022!$B:$B,0)),"")</f>
        <v>15</v>
      </c>
      <c r="C8" s="18">
        <f>IFERROR(INDEX(Election_Result_2022!$D:$D,MATCH(INDEX(Booth_Master!$A:$A,_xlfn.AGGREGATE(15,6,ROW(Booth_Master!$B$2:$B$200)/(Booth_Master!$B$2:$B$200=$B$2),ROWS($A$6:A8))),Election_Result_2022!$B:$B,0)),"")</f>
        <v>499</v>
      </c>
      <c r="D8" s="19">
        <f>IFERROR(INDEX(Election_Result_2022!$E:$E,MATCH(INDEX(Booth_Master!$A:$A,_xlfn.AGGREGATE(15,6,ROW(Booth_Master!$B$2:$B$200)/(Booth_Master!$B$2:$B$200=$B$2),ROWS($A$6:A8))),Election_Result_2022!$B:$B,0)),"")</f>
        <v>158</v>
      </c>
      <c r="E8" s="34"/>
      <c r="F8" s="10" t="s">
        <v>2</v>
      </c>
      <c r="G8" s="9" t="str">
        <f>IFERROR(INDEX(Gram_Panchayat_Master!$C:$C,MATCH($A$2,Gram_Panchayat_Master!$A:$A,0)),"")</f>
        <v>Bithri Chainpur</v>
      </c>
      <c r="H8" s="9" t="str">
        <f>IFERROR(INDEX(Village_Master!$C:$C,_xlfn.AGGREGATE(15,6,ROW(Village_Master!$B$2:$B$192)/(Village_Master!$B$2:$B$192=$A$2),ROWS($H$2:H8))),"")</f>
        <v/>
      </c>
      <c r="I8" s="17"/>
      <c r="J8" s="23" t="str">
        <f>IF(I8="","",IFERROR(SUMPRODUCT((Caste_Data!$B$2:$B$189=$B$2)*(Caste_Data!$C$2:$C$189="Hindu")*(Caste_Data!$D$2:$D$189=I8)*(Caste_Data!$E$2:$E$189)),0))</f>
        <v/>
      </c>
      <c r="K8" s="18" t="str">
        <f>IFERROR(INDEX(Caste_Data!$D:$D,_xlfn.AGGREGATE(15,6,ROW(Caste_Data!$B$2:$B$189)/((Caste_Data!$B$2:$B$189=$B$2)*(Caste_Data!$C$2:$C$189="Muslim")),ROWS($K$3:K8))),"")</f>
        <v>Lohar</v>
      </c>
      <c r="L8" s="24">
        <f>IF(K8="","",IFERROR(SUMPRODUCT((Caste_Data!$B$2:$B$189=$B$2)*(Caste_Data!$C$2:$C$189="Muslim")*(Caste_Data!$D$2:$D$189=K8)*(Caste_Data!$E$2:$E$189)),0))</f>
        <v>80</v>
      </c>
    </row>
    <row r="9" spans="1:12" ht="15" customHeight="1">
      <c r="A9" s="9" t="str">
        <f>IFERROR(INDEX(Booth_Master!$C:$C,_xlfn.AGGREGATE(15,6,ROW(Booth_Master!$B$2:$B$200)/(Booth_Master!$B$2:$B$200=$B$2),ROWS($A$6:A9))),"")</f>
        <v/>
      </c>
      <c r="B9" s="17" t="str">
        <f>IFERROR(INDEX(Election_Result_2022!$C:$C,MATCH(INDEX(Booth_Master!$A:$A,_xlfn.AGGREGATE(15,6,ROW(Booth_Master!$B$2:$B$200)/(Booth_Master!$B$2:$B$200=$B$2),ROWS($A$6:A9))),Election_Result_2022!$B:$B,0)),"")</f>
        <v/>
      </c>
      <c r="C9" s="18" t="str">
        <f>IFERROR(INDEX(Election_Result_2022!$D:$D,MATCH(INDEX(Booth_Master!$A:$A,_xlfn.AGGREGATE(15,6,ROW(Booth_Master!$B$2:$B$200)/(Booth_Master!$B$2:$B$200=$B$2),ROWS($A$6:A9))),Election_Result_2022!$B:$B,0)),"")</f>
        <v/>
      </c>
      <c r="D9" s="19" t="str">
        <f>IFERROR(INDEX(Election_Result_2022!$E:$E,MATCH(INDEX(Booth_Master!$A:$A,_xlfn.AGGREGATE(15,6,ROW(Booth_Master!$B$2:$B$200)/(Booth_Master!$B$2:$B$200=$B$2),ROWS($A$6:A9))),Election_Result_2022!$B:$B,0)),"")</f>
        <v/>
      </c>
      <c r="E9" s="34" t="str">
        <f>IFERROR(INDEX(Booth_Master!$H:$H,_xlfn.AGGREGATE(15,6,ROW(Booth_Master!$B$2:$B$200)/(Booth_Master!$B$2:$B$200=$B$2),ROWS($A$6:A9))),"")</f>
        <v/>
      </c>
      <c r="F9" s="9" t="s">
        <v>196</v>
      </c>
      <c r="G9" s="38">
        <f>((B11+C11+D11)*100)/D20</f>
        <v>67.573371510379388</v>
      </c>
      <c r="H9" s="9" t="str">
        <f>IFERROR(INDEX(Village_Master!$C:$C,_xlfn.AGGREGATE(15,6,ROW(Village_Master!$B$2:$B$192)/(Village_Master!$B$2:$B$192=$A$2),ROWS($H$2:H9))),"")</f>
        <v/>
      </c>
      <c r="I9" s="17" t="str">
        <f>IFERROR(INDEX(Caste_Data!$D:$D,_xlfn.AGGREGATE(15,6,ROW(Caste_Data!$B$2:$B$189)/((Caste_Data!$B$2:$B$189=$B$2)*(Caste_Data!$C$2:$C$189="Hindu")),ROWS($I$3:I9))),"")</f>
        <v/>
      </c>
      <c r="J9" s="23" t="str">
        <f>IF(I9="","",IFERROR(SUMPRODUCT((Caste_Data!$B$2:$B$189=$B$2)*(Caste_Data!$C$2:$C$189="Hindu")*(Caste_Data!$D$2:$D$189=I9)*(Caste_Data!$E$2:$E$189)),0))</f>
        <v/>
      </c>
      <c r="K9" s="18" t="str">
        <f>IFERROR(INDEX(Caste_Data!$D:$D,_xlfn.AGGREGATE(15,6,ROW(Caste_Data!$B$2:$B$189)/((Caste_Data!$B$2:$B$189=$B$2)*(Caste_Data!$C$2:$C$189="Muslim")),ROWS($K$3:K9))),"")</f>
        <v>Nai</v>
      </c>
      <c r="L9" s="24">
        <f>IF(K9="","",IFERROR(SUMPRODUCT((Caste_Data!$B$2:$B$189=$B$2)*(Caste_Data!$C$2:$C$189="Muslim")*(Caste_Data!$D$2:$D$189=K9)*(Caste_Data!$E$2:$E$189)),0))</f>
        <v>60</v>
      </c>
    </row>
    <row r="10" spans="1:12" ht="15.75" customHeight="1">
      <c r="A10" s="9" t="str">
        <f>IFERROR(INDEX(Booth_Master!$C:$C,_xlfn.AGGREGATE(15,6,ROW(Booth_Master!$B$2:$B$200)/(Booth_Master!$B$2:$B$200=$B$2),ROWS($A$6:A10))),"")</f>
        <v/>
      </c>
      <c r="B10" s="17" t="str">
        <f>IFERROR(INDEX(Election_Result_2022!$C:$C,MATCH(INDEX(Booth_Master!$A:$A,_xlfn.AGGREGATE(15,6,ROW(Booth_Master!$B$2:$B$200)/(Booth_Master!$B$2:$B$200=$B$2),ROWS($A$6:A10))),Election_Result_2022!$B:$B,0)),"")</f>
        <v/>
      </c>
      <c r="C10" s="18" t="str">
        <f>IFERROR(INDEX(Election_Result_2022!$D:$D,MATCH(INDEX(Booth_Master!$A:$A,_xlfn.AGGREGATE(15,6,ROW(Booth_Master!$B$2:$B$200)/(Booth_Master!$B$2:$B$200=$B$2),ROWS($A$6:A10))),Election_Result_2022!$B:$B,0)),"")</f>
        <v/>
      </c>
      <c r="D10" s="19" t="str">
        <f>IFERROR(INDEX(Election_Result_2022!$E:$E,MATCH(INDEX(Booth_Master!$A:$A,_xlfn.AGGREGATE(15,6,ROW(Booth_Master!$B$2:$B$200)/(Booth_Master!$B$2:$B$200=$B$2),ROWS($A$6:A10))),Election_Result_2022!$B:$B,0)),"")</f>
        <v/>
      </c>
      <c r="E10" s="34" t="str">
        <f>IFERROR(INDEX(Booth_Master!$H:$H,_xlfn.AGGREGATE(15,6,ROW(Booth_Master!$B$2:$B$200)/(Booth_Master!$B$2:$B$200=$B$2),ROWS($A$6:A10))),"")</f>
        <v/>
      </c>
      <c r="F10" s="9"/>
      <c r="G10" s="9"/>
      <c r="H10" s="9" t="str">
        <f>IFERROR(INDEX(Village_Master!$C:$C,_xlfn.AGGREGATE(15,6,ROW(Village_Master!$B$2:$B$192)/(Village_Master!$B$2:$B$192=$A$2),ROWS($H$2:H10))),"")</f>
        <v/>
      </c>
      <c r="I10" s="17" t="str">
        <f>IFERROR(INDEX(Caste_Data!$D:$D,_xlfn.AGGREGATE(15,6,ROW(Caste_Data!$B$2:$B$189)/((Caste_Data!$B$2:$B$189=$B$2)*(Caste_Data!$C$2:$C$189="Hindu")),ROWS($I$3:I10))),"")</f>
        <v/>
      </c>
      <c r="J10" s="23" t="str">
        <f>IF(I10="","",IFERROR(SUMPRODUCT((Caste_Data!$B$2:$B$189=$B$2)*(Caste_Data!$C$2:$C$189="Hindu")*(Caste_Data!$D$2:$D$189=I10)*(Caste_Data!$E$2:$E$189)),0))</f>
        <v/>
      </c>
      <c r="K10" s="18" t="str">
        <f>IFERROR(INDEX(Caste_Data!$D:$D,_xlfn.AGGREGATE(15,6,ROW(Caste_Data!$B$2:$B$189)/((Caste_Data!$B$2:$B$189=$B$2)*(Caste_Data!$C$2:$C$189="Muslim")),ROWS($K$3:K10))),"")</f>
        <v/>
      </c>
      <c r="L10" s="24" t="str">
        <f>IF(K10="","",IFERROR(SUMPRODUCT((Caste_Data!$B$2:$B$189=$B$2)*(Caste_Data!$C$2:$C$189="Muslim")*(Caste_Data!$D$2:$D$189=K10)*(Caste_Data!$E$2:$E$189)),0))</f>
        <v/>
      </c>
    </row>
    <row r="11" spans="1:12" ht="15.75" customHeight="1">
      <c r="A11" s="9" t="s">
        <v>189</v>
      </c>
      <c r="B11" s="17">
        <f>SUM(B6:B10)</f>
        <v>142</v>
      </c>
      <c r="C11" s="18">
        <f>SUM(C6:C10)</f>
        <v>1285</v>
      </c>
      <c r="D11" s="19">
        <f>SUM(D6:D10)</f>
        <v>461</v>
      </c>
      <c r="E11" s="34"/>
      <c r="F11" s="9"/>
      <c r="G11" s="9"/>
      <c r="H11" s="9"/>
      <c r="I11" s="17" t="str">
        <f>IFERROR(INDEX(Caste_Data!$D:$D,_xlfn.AGGREGATE(15,6,ROW(Caste_Data!$B$2:$B$189)/((Caste_Data!$B$2:$B$189=$B$2)*(Caste_Data!$C$2:$C$189="Hindu")),ROWS($I$3:I11))),"")</f>
        <v/>
      </c>
      <c r="J11" s="23" t="str">
        <f>IF(I11="","",IFERROR(SUMPRODUCT((Caste_Data!$B$2:$B$189=$B$2)*(Caste_Data!$C$2:$C$189="Hindu")*(Caste_Data!$D$2:$D$189=I11)*(Caste_Data!$E$2:$E$189)),0))</f>
        <v/>
      </c>
      <c r="K11" s="18" t="str">
        <f>IFERROR(INDEX(Caste_Data!$D:$D,_xlfn.AGGREGATE(15,6,ROW(Caste_Data!$B$2:$B$189)/((Caste_Data!$B$2:$B$189=$B$2)*(Caste_Data!$C$2:$C$189="Muslim")),ROWS($K$3:K11))),"")</f>
        <v/>
      </c>
      <c r="L11" s="24" t="str">
        <f>IF(K11="","",IFERROR(SUMPRODUCT((Caste_Data!$B$2:$B$189=$B$2)*(Caste_Data!$C$2:$C$189="Muslim")*(Caste_Data!$D$2:$D$189=K11)*(Caste_Data!$E$2:$E$189)),0))</f>
        <v/>
      </c>
    </row>
    <row r="12" spans="1:12" ht="17.25" customHeight="1">
      <c r="F12" s="9"/>
      <c r="G12" s="9"/>
      <c r="H12" s="9"/>
      <c r="I12" s="17" t="str">
        <f>IFERROR(INDEX(Caste_Data!$D:$D,_xlfn.AGGREGATE(15,6,ROW(Caste_Data!$B$2:$B$189)/((Caste_Data!$B$2:$B$189=$B$2)*(Caste_Data!$C$2:$C$189="Hindu")),ROWS($I$3:I12))),"")</f>
        <v/>
      </c>
      <c r="J12" s="23" t="str">
        <f>IF(I12="","",IFERROR(SUMPRODUCT((Caste_Data!$B$2:$B$189=$B$2)*(Caste_Data!$C$2:$C$189="Hindu")*(Caste_Data!$D$2:$D$189=I12)*(Caste_Data!$E$2:$E$189)),0))</f>
        <v/>
      </c>
      <c r="K12" s="18" t="str">
        <f>IFERROR(INDEX(Caste_Data!$D:$D,_xlfn.AGGREGATE(15,6,ROW(Caste_Data!$B$2:$B$189)/((Caste_Data!$B$2:$B$189=$B$2)*(Caste_Data!$C$2:$C$189="Muslim")),ROWS($K$3:K12))),"")</f>
        <v/>
      </c>
      <c r="L12" s="24" t="str">
        <f>IF(K12="","",IFERROR(SUMPRODUCT((Caste_Data!$B$2:$B$189=$B$2)*(Caste_Data!$C$2:$C$189="Muslim")*(Caste_Data!$D$2:$D$189=K12)*(Caste_Data!$E$2:$E$189)),0))</f>
        <v/>
      </c>
    </row>
    <row r="13" spans="1:12" ht="15.75" customHeight="1">
      <c r="A13" s="30" t="s">
        <v>190</v>
      </c>
      <c r="B13" s="31"/>
      <c r="C13" s="31"/>
      <c r="D13" s="31"/>
      <c r="E13" s="32"/>
    </row>
    <row r="14" spans="1:12" ht="15.75" customHeight="1">
      <c r="A14" s="13" t="s">
        <v>194</v>
      </c>
      <c r="B14" s="13" t="s">
        <v>191</v>
      </c>
      <c r="C14" s="13" t="s">
        <v>192</v>
      </c>
      <c r="D14" s="13" t="s">
        <v>189</v>
      </c>
      <c r="E14" s="13" t="s">
        <v>193</v>
      </c>
      <c r="F14" s="25" t="s">
        <v>187</v>
      </c>
      <c r="G14" s="25"/>
      <c r="H14" s="25"/>
      <c r="I14" s="25"/>
      <c r="J14" s="25"/>
      <c r="K14" s="25"/>
      <c r="L14" s="25"/>
    </row>
    <row r="15" spans="1:12" ht="15.75" customHeight="1">
      <c r="A15" s="9">
        <f>IFERROR(INDEX(Booth_Master!$D:$D,_xlfn.AGGREGATE(15,6,ROW(Booth_Master!$B$2:$B$200)/(Booth_Master!$B$2:$B$200=$B$2),ROWS($A$6:A6))),"")</f>
        <v>409</v>
      </c>
      <c r="B15" s="9">
        <f>IFERROR(IF(A15="","",INDEX(Booth_Master!$F:$F,MATCH(A15,Booth_Master!$D:$D,0))),"")</f>
        <v>497</v>
      </c>
      <c r="C15" s="9">
        <f>IFERROR(IF(A15="","",INDEX(Booth_Master!$G:$G,MATCH(A15,Booth_Master!$D:$D,0))),"")</f>
        <v>416</v>
      </c>
      <c r="D15" s="9">
        <f>IFERROR(IF(A15="","",INDEX(Booth_Master!$E:$E,MATCH(A15,Booth_Master!$D:$D,0))),"")</f>
        <v>913</v>
      </c>
      <c r="E15" s="9" t="str">
        <f>IFERROR(INDEX(Booth_Master!$H:$H,_xlfn.AGGREGATE(15,6,ROW(Booth_Master!$B$2:$B$200)/(Booth_Master!$B$2:$B$200=$B$2),ROWS($A$6:A6))),"")</f>
        <v>Very Weak</v>
      </c>
      <c r="F15" s="37" t="str">
        <f>IFERROR(INDEX(Gram_Panchayat_Master!$J:$J,MATCH($A$2,Gram_Panchayat_Master!$A:$A,0)),"")</f>
        <v>सुल्तान बेग जी को जायदा वोट मिलेंगे क्योकि सहजील से लोग नाराज है</v>
      </c>
      <c r="G15" s="37"/>
      <c r="H15" s="37"/>
      <c r="I15" s="37"/>
      <c r="J15" s="37"/>
      <c r="K15" s="37"/>
      <c r="L15" s="37"/>
    </row>
    <row r="16" spans="1:12" ht="15.75" customHeight="1">
      <c r="A16" s="9">
        <f>IFERROR(INDEX(Booth_Master!$D:$D,_xlfn.AGGREGATE(15,6,ROW(Booth_Master!$B$2:$B$200)/(Booth_Master!$B$2:$B$200=$B$2),ROWS($A$6:A7))),"")</f>
        <v>410</v>
      </c>
      <c r="B16" s="9">
        <f>IFERROR(IF(A16="","",INDEX(Booth_Master!$F:$F,MATCH(A16,Booth_Master!$D:$D,0))),"")</f>
        <v>489</v>
      </c>
      <c r="C16" s="9">
        <f>IFERROR(IF(A16="","",INDEX(Booth_Master!$G:$G,MATCH(A16,Booth_Master!$D:$D,0))),"")</f>
        <v>401</v>
      </c>
      <c r="D16" s="9">
        <f>IFERROR(IF(A16="","",INDEX(Booth_Master!$E:$E,MATCH(A16,Booth_Master!$D:$D,0))),"")</f>
        <v>890</v>
      </c>
      <c r="E16" s="9" t="str">
        <f>IFERROR(INDEX(Booth_Master!$H:$H,_xlfn.AGGREGATE(15,6,ROW(Booth_Master!$B$2:$B$200)/(Booth_Master!$B$2:$B$200=$B$2),ROWS($A$6:A7))),"")</f>
        <v>Very Weak</v>
      </c>
      <c r="F16" s="1"/>
      <c r="G16" s="1"/>
      <c r="H16" s="1"/>
      <c r="I16" s="1"/>
      <c r="J16" s="1"/>
      <c r="K16" s="1"/>
      <c r="L16" s="1"/>
    </row>
    <row r="17" spans="1:13" ht="18.75" customHeight="1">
      <c r="A17" s="9">
        <f>IFERROR(INDEX(Booth_Master!$D:$D,_xlfn.AGGREGATE(15,6,ROW(Booth_Master!$B$2:$B$200)/(Booth_Master!$B$2:$B$200=$B$2),ROWS($A$6:A8))),"")</f>
        <v>411</v>
      </c>
      <c r="B17" s="9">
        <f>IFERROR(IF(A17="","",INDEX(Booth_Master!$F:$F,MATCH(A17,Booth_Master!$D:$D,0))),"")</f>
        <v>542</v>
      </c>
      <c r="C17" s="9">
        <f>IFERROR(IF(A17="","",INDEX(Booth_Master!$G:$G,MATCH(A17,Booth_Master!$D:$D,0))),"")</f>
        <v>449</v>
      </c>
      <c r="D17" s="9">
        <f>IFERROR(IF(A17="","",INDEX(Booth_Master!$E:$E,MATCH(A17,Booth_Master!$D:$D,0))),"")</f>
        <v>991</v>
      </c>
      <c r="E17" s="9" t="str">
        <f>IFERROR(INDEX(Booth_Master!$H:$H,_xlfn.AGGREGATE(15,6,ROW(Booth_Master!$B$2:$B$200)/(Booth_Master!$B$2:$B$200=$B$2),ROWS($A$6:A8))),"")</f>
        <v>Very Weak</v>
      </c>
      <c r="F17" s="1"/>
      <c r="G17" s="1"/>
      <c r="H17" s="1"/>
      <c r="I17" s="1"/>
      <c r="J17" s="1"/>
      <c r="K17" s="1"/>
      <c r="L17" s="1"/>
    </row>
    <row r="18" spans="1:13" ht="15" customHeight="1">
      <c r="A18" s="9" t="str">
        <f>IFERROR(INDEX(Booth_Master!$D:$D,_xlfn.AGGREGATE(15,6,ROW(Booth_Master!$B$2:$B$200)/(Booth_Master!$B$2:$B$200=$B$2),ROWS($A$6:A9))),"")</f>
        <v/>
      </c>
      <c r="B18" s="9" t="str">
        <f>IFERROR(IF(A18="","",INDEX(Booth_Master!$F:$F,MATCH(A18,Booth_Master!$D:$D,0))),"")</f>
        <v/>
      </c>
      <c r="C18" s="8" t="str">
        <f>IFERROR(IF(A18="","",INDEX(Booth_Master!$G:$G,MATCH(A18,Booth_Master!$D:$D,0))),"")</f>
        <v/>
      </c>
      <c r="D18" s="8" t="str">
        <f>IFERROR(IF(A18="","",INDEX(Booth_Master!$E:$E,MATCH(A18,Booth_Master!$D:$D,0))),"")</f>
        <v/>
      </c>
      <c r="E18" s="8"/>
      <c r="F18" s="9"/>
      <c r="G18" s="9"/>
      <c r="H18" s="9"/>
      <c r="I18" s="9"/>
      <c r="J18" s="9"/>
      <c r="K18" s="9"/>
      <c r="L18" s="9"/>
    </row>
    <row r="19" spans="1:13" ht="15" customHeight="1">
      <c r="A19" s="9" t="str">
        <f>IFERROR(INDEX(Booth_Master!$D:$D,_xlfn.AGGREGATE(15,6,ROW(Booth_Master!$B$2:$B$200)/(Booth_Master!$B$2:$B$200=$B$2),ROWS($A$6:A10))),"")</f>
        <v/>
      </c>
      <c r="B19" s="8" t="str">
        <f>IFERROR(IF(A19="","",INDEX(Booth_Master!$F:$F,MATCH(A19,Booth_Master!$D:$D,0))),"")</f>
        <v/>
      </c>
      <c r="C19" s="8" t="str">
        <f>IFERROR(IF(A19="","",INDEX(Booth_Master!$G:$G,MATCH(A19,Booth_Master!$D:$D,0))),"")</f>
        <v/>
      </c>
      <c r="D19" s="8" t="str">
        <f>IFERROR(IF(A19="","",INDEX(Booth_Master!$E:$E,MATCH(A19,Booth_Master!$D:$D,0))),"")</f>
        <v/>
      </c>
      <c r="E19" s="8"/>
      <c r="F19" s="26" t="s">
        <v>6</v>
      </c>
      <c r="G19" s="27"/>
      <c r="H19" s="27"/>
      <c r="I19" s="27"/>
      <c r="J19" s="27"/>
      <c r="K19" s="27"/>
      <c r="L19" s="28"/>
    </row>
    <row r="20" spans="1:13" ht="15" customHeight="1">
      <c r="A20" s="12" t="s">
        <v>189</v>
      </c>
      <c r="B20" s="9">
        <f>IF(COUNTA(B15:B19)=0,"",SUM(B15:B19))</f>
        <v>1528</v>
      </c>
      <c r="C20" s="9">
        <f>IF(COUNTA(C15:C19)=0,"",SUM(C15:C19))</f>
        <v>1266</v>
      </c>
      <c r="D20" s="9">
        <f>IF(COUNTA(D15:D19)=0,"",SUM(D15:D19))</f>
        <v>2794</v>
      </c>
      <c r="E20" s="9"/>
      <c r="F20" s="1" t="str">
        <f>IFERROR(INDEX(Gram_Panchayat_Master!$G:$G,MATCH($A$2,Gram_Panchayat_Master!$A:$A,0)),"")</f>
        <v>लोग कम जानते है और आते भी नहीं है इधर लोगो का कहना है</v>
      </c>
      <c r="G20" s="1"/>
      <c r="H20" s="1"/>
      <c r="I20" s="1"/>
      <c r="J20" s="1"/>
      <c r="K20" s="1"/>
      <c r="L20" s="1"/>
      <c r="M20" s="11"/>
    </row>
    <row r="21" spans="1:13" ht="15" customHeight="1">
      <c r="F21" s="1"/>
      <c r="G21" s="1"/>
      <c r="H21" s="1"/>
      <c r="I21" s="1"/>
      <c r="J21" s="1"/>
      <c r="K21" s="1"/>
      <c r="L21" s="1"/>
      <c r="M21" s="11"/>
    </row>
    <row r="22" spans="1:13" ht="15" customHeight="1">
      <c r="A22" s="13" t="s">
        <v>109</v>
      </c>
      <c r="B22" s="13" t="s">
        <v>110</v>
      </c>
      <c r="C22" s="13" t="s">
        <v>111</v>
      </c>
      <c r="D22" s="13" t="s">
        <v>112</v>
      </c>
      <c r="E22" s="13" t="s">
        <v>182</v>
      </c>
      <c r="F22" s="1"/>
      <c r="G22" s="1"/>
      <c r="H22" s="1"/>
      <c r="I22" s="1"/>
      <c r="J22" s="1"/>
      <c r="K22" s="1"/>
      <c r="L22" s="1"/>
    </row>
    <row r="23" spans="1:13">
      <c r="A23" s="9" t="str">
        <f>IFERROR(INDEX(Influential_Persons!$A:$A,_xlfn.AGGREGATE(15,6,ROW(Influential_Persons!$B$2:$B$199)/(Influential_Persons!$B$2:$B$199=$B$2),ROWS($A$23:A23))),"")</f>
        <v>P013</v>
      </c>
      <c r="B23" s="9" t="str">
        <f>IF($A23="","",INDEX(Influential_Persons!$C:$C,MATCH($A23,Influential_Persons!$A:$A,0)))</f>
        <v>ShahaJi Kamal</v>
      </c>
      <c r="C23" s="9" t="str">
        <f>IF($A23="","",INDEX(Influential_Persons!$D:$D,MATCH($A23,Influential_Persons!$A:$A,0)))</f>
        <v>Pradhan Putr</v>
      </c>
      <c r="D23" s="9">
        <f>IF($A23="","",INDEX(Influential_Persons!$E:$E,MATCH($A23,Influential_Persons!$A:$A,0)))</f>
        <v>9927112874</v>
      </c>
      <c r="E23" s="9" t="str">
        <f>IF($A23="","",INDEX(Influential_Persons!$F:$F,MATCH($A23,Influential_Persons!$A:$A,0)))</f>
        <v>SP</v>
      </c>
      <c r="F23" s="26" t="s">
        <v>7</v>
      </c>
      <c r="G23" s="27"/>
      <c r="H23" s="27"/>
      <c r="I23" s="27"/>
      <c r="J23" s="27"/>
      <c r="K23" s="27"/>
      <c r="L23" s="28"/>
    </row>
    <row r="24" spans="1:13" ht="15" customHeight="1">
      <c r="A24" s="9" t="str">
        <f>IFERROR(INDEX(Influential_Persons!$A:$A,_xlfn.AGGREGATE(15,6,ROW(Influential_Persons!$B$2:$B$199)/(Influential_Persons!$B$2:$B$199=$B$2),ROWS($A$23:A24))),"")</f>
        <v>P014</v>
      </c>
      <c r="B24" s="9" t="str">
        <f>IF($A24="","",INDEX(Influential_Persons!$C:$C,MATCH($A24,Influential_Persons!$A:$A,0)))</f>
        <v>Tarikh Anshari</v>
      </c>
      <c r="C24" s="9" t="str">
        <f>IF($A24="","",INDEX(Influential_Persons!$D:$D,MATCH($A24,Influential_Persons!$A:$A,0)))</f>
        <v>Kotedar Batije</v>
      </c>
      <c r="D24" s="9">
        <f>IF($A24="","",INDEX(Influential_Persons!$E:$E,MATCH($A24,Influential_Persons!$A:$A,0)))</f>
        <v>9758715612</v>
      </c>
      <c r="E24" s="9" t="str">
        <f>IF($A24="","",INDEX(Influential_Persons!$F:$F,MATCH($A24,Influential_Persons!$A:$A,0)))</f>
        <v>SP</v>
      </c>
      <c r="F24" s="1" t="str">
        <f>IFERROR(INDEX(Gram_Panchayat_Master!$H:$H,MATCH($A$2,Gram_Panchayat_Master!$A:$A,0)),"")</f>
        <v>रलवे लायन से लेकर नन्युआ साईकिल बाले के घर तक रोड ख़राब  है (नईक,सत्यपाल) कूड़ा दान का कोई रास्ता नहीं है प्रयोग नहीं कर सकते(महेस)</v>
      </c>
      <c r="G24" s="1"/>
      <c r="H24" s="1"/>
      <c r="I24" s="1"/>
      <c r="J24" s="1"/>
      <c r="K24" s="1"/>
      <c r="L24" s="1"/>
    </row>
    <row r="25" spans="1:13" ht="15" customHeight="1">
      <c r="A25" s="9" t="str">
        <f>IFERROR(INDEX(Influential_Persons!$A:$A,_xlfn.AGGREGATE(15,6,ROW(Influential_Persons!$B$2:$B$199)/(Influential_Persons!$B$2:$B$199=$B$2),ROWS($A$23:A25))),"")</f>
        <v>P015</v>
      </c>
      <c r="B25" s="9" t="str">
        <f>IF($A25="","",INDEX(Influential_Persons!$C:$C,MATCH($A25,Influential_Persons!$A:$A,0)))</f>
        <v>Naresh</v>
      </c>
      <c r="C25" s="9" t="str">
        <f>IF($A25="","",INDEX(Influential_Persons!$D:$D,MATCH($A25,Influential_Persons!$A:$A,0)))</f>
        <v xml:space="preserve">BDC </v>
      </c>
      <c r="D25" s="9">
        <f>IF($A25="","",INDEX(Influential_Persons!$E:$E,MATCH($A25,Influential_Persons!$A:$A,0)))</f>
        <v>8439913072</v>
      </c>
      <c r="E25" s="9" t="str">
        <f>IF($A25="","",INDEX(Influential_Persons!$F:$F,MATCH($A25,Influential_Persons!$A:$A,0)))</f>
        <v>BJP</v>
      </c>
      <c r="F25" s="1"/>
      <c r="G25" s="1"/>
      <c r="H25" s="1"/>
      <c r="I25" s="1"/>
      <c r="J25" s="1"/>
      <c r="K25" s="1"/>
      <c r="L25" s="1"/>
    </row>
    <row r="26" spans="1:13">
      <c r="A26" s="9" t="str">
        <f>IFERROR(INDEX(Influential_Persons!$A:$A,_xlfn.AGGREGATE(15,6,ROW(Influential_Persons!$B$2:$B$199)/(Influential_Persons!$B$2:$B$199=$B$2),ROWS($A$23:A26))),"")</f>
        <v>P016</v>
      </c>
      <c r="B26" s="9" t="str">
        <f>IF($A26="","",INDEX(Influential_Persons!$C:$C,MATCH($A26,Influential_Persons!$A:$A,0)))</f>
        <v>Stya Pal</v>
      </c>
      <c r="C26" s="9" t="str">
        <f>IF($A26="","",INDEX(Influential_Persons!$D:$D,MATCH($A26,Influential_Persons!$A:$A,0)))</f>
        <v>Tearcher</v>
      </c>
      <c r="D26" s="9">
        <f>IF($A26="","",INDEX(Influential_Persons!$E:$E,MATCH($A26,Influential_Persons!$A:$A,0)))</f>
        <v>7906608522</v>
      </c>
      <c r="E26" s="9" t="str">
        <f>IF($A26="","",INDEX(Influential_Persons!$F:$F,MATCH($A26,Influential_Persons!$A:$A,0)))</f>
        <v>BSP</v>
      </c>
      <c r="F26" s="1"/>
      <c r="G26" s="1"/>
      <c r="H26" s="1"/>
      <c r="I26" s="1"/>
      <c r="J26" s="1"/>
      <c r="K26" s="1"/>
      <c r="L26" s="1"/>
    </row>
    <row r="27" spans="1:13" ht="15.75" customHeight="1">
      <c r="A27" s="9" t="str">
        <f>IFERROR(INDEX(Influential_Persons!$A:$A,_xlfn.AGGREGATE(15,6,ROW(Influential_Persons!$B$2:$B$199)/(Influential_Persons!$B$2:$B$199=$B$2),ROWS($A$23:A27))),"")</f>
        <v>P017</v>
      </c>
      <c r="B27" s="9" t="str">
        <f>IF($A27="","",INDEX(Influential_Persons!$C:$C,MATCH($A27,Influential_Persons!$A:$A,0)))</f>
        <v>Mahesh Pal</v>
      </c>
      <c r="C27" s="9" t="str">
        <f>IF($A27="","",INDEX(Influential_Persons!$D:$D,MATCH($A27,Influential_Persons!$A:$A,0)))</f>
        <v>Medical Store</v>
      </c>
      <c r="D27" s="9">
        <f>IF($A27="","",INDEX(Influential_Persons!$E:$E,MATCH($A27,Influential_Persons!$A:$A,0)))</f>
        <v>9526275587</v>
      </c>
      <c r="E27" s="9" t="str">
        <f>IF($A27="","",INDEX(Influential_Persons!$F:$F,MATCH($A27,Influential_Persons!$A:$A,0)))</f>
        <v>BSP</v>
      </c>
      <c r="F27" s="1"/>
      <c r="G27" s="1"/>
      <c r="H27" s="1"/>
      <c r="I27" s="1"/>
      <c r="J27" s="1"/>
      <c r="K27" s="1"/>
      <c r="L27" s="1"/>
    </row>
    <row r="28" spans="1:13">
      <c r="A28" s="9" t="str">
        <f>IFERROR(INDEX(Influential_Persons!$A:$A,_xlfn.AGGREGATE(15,6,ROW(Influential_Persons!$B$2:$B$199)/(Influential_Persons!$B$2:$B$199=$B$2),ROWS($A$23:A28))),"")</f>
        <v>P018</v>
      </c>
      <c r="B28" s="9" t="str">
        <f>IF($A28="","",INDEX(Influential_Persons!$C:$C,MATCH($A28,Influential_Persons!$A:$A,0)))</f>
        <v>Ashif Khan</v>
      </c>
      <c r="C28" s="9" t="str">
        <f>IF($A28="","",INDEX(Influential_Persons!$D:$D,MATCH($A28,Influential_Persons!$A:$A,0)))</f>
        <v>up vijeta Pradhan</v>
      </c>
      <c r="D28" s="9">
        <f>IF($A28="","",INDEX(Influential_Persons!$E:$E,MATCH($A28,Influential_Persons!$A:$A,0)))</f>
        <v>9368506104</v>
      </c>
      <c r="E28" s="9" t="str">
        <f>IF($A28="","",INDEX(Influential_Persons!$F:$F,MATCH($A28,Influential_Persons!$A:$A,0)))</f>
        <v>SP</v>
      </c>
      <c r="F28" s="26" t="s">
        <v>8</v>
      </c>
      <c r="G28" s="27"/>
      <c r="H28" s="27"/>
      <c r="I28" s="27"/>
      <c r="J28" s="27"/>
      <c r="K28" s="27"/>
      <c r="L28" s="28"/>
    </row>
    <row r="29" spans="1:13" ht="15.75" customHeight="1">
      <c r="A29" s="9" t="str">
        <f>IFERROR(INDEX(Influential_Persons!$A:$A,_xlfn.AGGREGATE(15,6,ROW(Influential_Persons!$B$2:$B$199)/(Influential_Persons!$B$2:$B$199=$B$2),ROWS($A$23:A29))),"")</f>
        <v>P019</v>
      </c>
      <c r="B29" s="9" t="str">
        <f>IF($A29="","",INDEX(Influential_Persons!$C:$C,MATCH($A29,Influential_Persons!$A:$A,0)))</f>
        <v>Naik Ahmad</v>
      </c>
      <c r="C29" s="9" t="str">
        <f>IF($A29="","",INDEX(Influential_Persons!$D:$D,MATCH($A29,Influential_Persons!$A:$A,0)))</f>
        <v>Kirana Store</v>
      </c>
      <c r="D29" s="9">
        <f>IF($A29="","",INDEX(Influential_Persons!$E:$E,MATCH($A29,Influential_Persons!$A:$A,0)))</f>
        <v>9758599444</v>
      </c>
      <c r="E29" s="9" t="str">
        <f>IF($A29="","",INDEX(Influential_Persons!$F:$F,MATCH($A29,Influential_Persons!$A:$A,0)))</f>
        <v>SP</v>
      </c>
      <c r="F29" s="1" t="str">
        <f>IFERROR(INDEX(Gram_Panchayat_Master!$I:$I,MATCH($A$2,Gram_Panchayat_Master!$A:$A,0)),"")</f>
        <v>जाटव समाज में सत्यपाल मास्टर के पुराने बाले माकन की गली में पानी का निकास नहीं है क्योकि बहार बाला रोड ऊचा है तो बहुत समस्या है अभी सभी को</v>
      </c>
      <c r="G29" s="1"/>
      <c r="H29" s="1"/>
      <c r="I29" s="1"/>
      <c r="J29" s="1"/>
      <c r="K29" s="1"/>
      <c r="L29" s="1"/>
    </row>
    <row r="30" spans="1:13">
      <c r="A30" s="9" t="str">
        <f>IFERROR(INDEX(Influential_Persons!$A:$A,_xlfn.AGGREGATE(15,6,ROW(Influential_Persons!$B$2:$B$199)/(Influential_Persons!$B$2:$B$199=$B$2),ROWS($A$23:A30))),"")</f>
        <v>P020</v>
      </c>
      <c r="B30" s="9" t="str">
        <f>IF($A30="","",INDEX(Influential_Persons!$C:$C,MATCH($A30,Influential_Persons!$A:$A,0)))</f>
        <v>Nanhe Lal</v>
      </c>
      <c r="C30" s="9" t="str">
        <f>IF($A30="","",INDEX(Influential_Persons!$D:$D,MATCH($A30,Influential_Persons!$A:$A,0)))</f>
        <v>Influential</v>
      </c>
      <c r="D30" s="9">
        <f>IF($A30="","",INDEX(Influential_Persons!$E:$E,MATCH($A30,Influential_Persons!$A:$A,0)))</f>
        <v>9675112123</v>
      </c>
      <c r="E30" s="9" t="str">
        <f>IF($A30="","",INDEX(Influential_Persons!$F:$F,MATCH($A30,Influential_Persons!$A:$A,0)))</f>
        <v>BJP</v>
      </c>
      <c r="F30" s="1"/>
      <c r="G30" s="1"/>
      <c r="H30" s="1"/>
      <c r="I30" s="1"/>
      <c r="J30" s="1"/>
      <c r="K30" s="1"/>
      <c r="L30" s="1"/>
    </row>
    <row r="31" spans="1:13">
      <c r="A31" s="9" t="str">
        <f>IFERROR(INDEX(Influential_Persons!$A:$A,_xlfn.AGGREGATE(15,6,ROW(Influential_Persons!$B$2:$B$199)/(Influential_Persons!$B$2:$B$199=$B$2),ROWS($A$23:A31))),"")</f>
        <v>P021</v>
      </c>
      <c r="B31" s="9" t="str">
        <f>IF($A31="","",INDEX(Influential_Persons!$C:$C,MATCH($A31,Influential_Persons!$A:$A,0)))</f>
        <v>Raghunath</v>
      </c>
      <c r="C31" s="9" t="str">
        <f>IF($A31="","",INDEX(Influential_Persons!$D:$D,MATCH($A31,Influential_Persons!$A:$A,0)))</f>
        <v>Influential</v>
      </c>
      <c r="D31" s="9">
        <f>IF($A31="","",INDEX(Influential_Persons!$E:$E,MATCH($A31,Influential_Persons!$A:$A,0)))</f>
        <v>7500125982</v>
      </c>
      <c r="E31" s="9" t="str">
        <f>IF($A31="","",INDEX(Influential_Persons!$F:$F,MATCH($A31,Influential_Persons!$A:$A,0)))</f>
        <v>BSP</v>
      </c>
      <c r="F31" s="1"/>
      <c r="G31" s="1"/>
      <c r="H31" s="1"/>
      <c r="I31" s="1"/>
      <c r="J31" s="1"/>
      <c r="K31" s="1"/>
      <c r="L31" s="1"/>
    </row>
    <row r="32" spans="1:13">
      <c r="A32" s="9" t="str">
        <f>IFERROR(INDEX(Influential_Persons!$A:$A,_xlfn.AGGREGATE(15,6,ROW(Influential_Persons!$B$2:$B$199)/(Influential_Persons!$B$2:$B$199=$B$2),ROWS($A$23:A32))),"")</f>
        <v>P022</v>
      </c>
      <c r="B32" s="9" t="str">
        <f>IF($A32="","",INDEX(Influential_Persons!$C:$C,MATCH($A32,Influential_Persons!$A:$A,0)))</f>
        <v>Naseer</v>
      </c>
      <c r="C32" s="9" t="str">
        <f>IF($A32="","",INDEX(Influential_Persons!$D:$D,MATCH($A32,Influential_Persons!$A:$A,0)))</f>
        <v>Panchayat sahak</v>
      </c>
      <c r="D32" s="9">
        <f>IF($A32="","",INDEX(Influential_Persons!$E:$E,MATCH($A32,Influential_Persons!$A:$A,0)))</f>
        <v>7617554919</v>
      </c>
      <c r="E32" s="9" t="str">
        <f>IF($A32="","",INDEX(Influential_Persons!$F:$F,MATCH($A32,Influential_Persons!$A:$A,0)))</f>
        <v>SP</v>
      </c>
      <c r="F32" s="1"/>
      <c r="G32" s="1"/>
      <c r="H32" s="1"/>
      <c r="I32" s="1"/>
      <c r="J32" s="1"/>
      <c r="K32" s="1"/>
      <c r="L32" s="1"/>
    </row>
    <row r="33" spans="1:12">
      <c r="A33" s="9" t="str">
        <f>IFERROR(INDEX(Influential_Persons!$A:$A,_xlfn.AGGREGATE(15,6,ROW(Influential_Persons!$B$2:$B$199)/(Influential_Persons!$B$2:$B$199=$B$2),ROWS($A$23:A33))),"")</f>
        <v/>
      </c>
      <c r="B33" s="9" t="str">
        <f>IF($A33="","",INDEX(Influential_Persons!$C:$C,MATCH($A33,Influential_Persons!$A:$A,0)))</f>
        <v/>
      </c>
      <c r="C33" s="9" t="str">
        <f>IF($A33="","",INDEX(Influential_Persons!$D:$D,MATCH($A33,Influential_Persons!$A:$A,0)))</f>
        <v/>
      </c>
      <c r="D33" s="9" t="str">
        <f>IF($A33="","",INDEX(Influential_Persons!$E:$E,MATCH($A33,Influential_Persons!$A:$A,0)))</f>
        <v/>
      </c>
      <c r="E33" s="9" t="str">
        <f>IF($A33="","",INDEX(Influential_Persons!$F:$F,MATCH($A33,Influential_Persons!$A:$A,0)))</f>
        <v/>
      </c>
      <c r="F33" s="1"/>
      <c r="G33" s="1"/>
      <c r="H33" s="1"/>
      <c r="I33" s="1"/>
      <c r="J33" s="1"/>
      <c r="K33" s="1"/>
      <c r="L33" s="1"/>
    </row>
    <row r="34" spans="1:12">
      <c r="A34" s="9" t="str">
        <f>IFERROR(INDEX(Influential_Persons!$A:$A,_xlfn.AGGREGATE(15,6,ROW(Influential_Persons!$B$2:$B$199)/(Influential_Persons!$B$2:$B$199=$B$2),ROWS($A$23:A34))),"")</f>
        <v/>
      </c>
      <c r="B34" s="9" t="str">
        <f>IF($A34="","",INDEX(Influential_Persons!$C:$C,MATCH($A34,Influential_Persons!$A:$A,0)))</f>
        <v/>
      </c>
      <c r="C34" s="9" t="str">
        <f>IF($A34="","",INDEX(Influential_Persons!$D:$D,MATCH($A34,Influential_Persons!$A:$A,0)))</f>
        <v/>
      </c>
      <c r="D34" s="9" t="str">
        <f>IF($A34="","",INDEX(Influential_Persons!$E:$E,MATCH($A34,Influential_Persons!$A:$A,0)))</f>
        <v/>
      </c>
      <c r="E34" s="9" t="str">
        <f>IF($A34="","",INDEX(Influential_Persons!$F:$F,MATCH($A34,Influential_Persons!$A:$A,0)))</f>
        <v/>
      </c>
    </row>
  </sheetData>
  <mergeCells count="10">
    <mergeCell ref="F23:L23"/>
    <mergeCell ref="F24:L27"/>
    <mergeCell ref="F28:L28"/>
    <mergeCell ref="F29:L33"/>
    <mergeCell ref="A13:E13"/>
    <mergeCell ref="F14:L14"/>
    <mergeCell ref="F15:L17"/>
    <mergeCell ref="F19:L19"/>
    <mergeCell ref="F20:L22"/>
    <mergeCell ref="A4:D4"/>
  </mergeCells>
  <conditionalFormatting sqref="F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{FF5A34F1-BD27-4194-9C94-727FB7114E61}</x14:id>
        </ext>
      </extLst>
    </cfRule>
  </conditionalFormatting>
  <conditionalFormatting sqref="E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{E831BA2F-2616-4B12-95F9-C471F860DF84}</x14:id>
        </ext>
      </extLst>
    </cfRule>
  </conditionalFormatting>
  <conditionalFormatting sqref="E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{25819BB3-3DA0-4AC9-BF43-6065B6D04E61}</x14:id>
        </ext>
      </extLst>
    </cfRule>
  </conditionalFormatting>
  <conditionalFormatting sqref="F1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{201887AF-91BD-4AD0-A31C-7F4A1AB97689}</x14:id>
        </ext>
      </extLst>
    </cfRule>
  </conditionalFormatting>
  <conditionalFormatting sqref="F20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{37A06AFD-7030-45FF-9B3F-3581A5A26DE7}</x14:id>
        </ext>
      </extLst>
    </cfRule>
  </conditionalFormatting>
  <conditionalFormatting sqref="F24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{D0123588-1645-4950-8F94-3A62EF801829}</x14:id>
        </ext>
      </extLst>
    </cfRule>
  </conditionalFormatting>
  <conditionalFormatting sqref="F2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{774E33C7-C489-4FFB-8265-D11A38DBE939}</x14:id>
        </ext>
      </extLst>
    </cfRule>
  </conditionalFormatting>
  <conditionalFormatting sqref="G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{166351B3-6048-4C10-AE10-F9C3D4492522}</x14:id>
        </ext>
      </extLst>
    </cfRule>
  </conditionalFormatting>
  <conditionalFormatting sqref="H1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{5B876730-9C40-485A-AB9A-6510F57A8379}</x14:id>
        </ext>
      </extLst>
    </cfRule>
  </conditionalFormatting>
  <conditionalFormatting sqref="J1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{AF315788-8F30-4CC3-B06D-511BE37D7F74}</x14:id>
        </ext>
      </extLst>
    </cfRule>
  </conditionalFormatting>
  <conditionalFormatting sqref="L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{30F9C850-D0B9-47AF-87C9-E2F572C25D3E}</x14:id>
        </ext>
      </extLst>
    </cfRule>
  </conditionalFormatting>
  <conditionalFormatting sqref="A22:E22">
    <cfRule type="dataBar" priority="12">
      <dataBar>
        <cfvo type="min"/>
        <cfvo type="max"/>
        <color rgb="FF638EC6"/>
      </dataBar>
    </cfRule>
  </conditionalFormatting>
  <conditionalFormatting sqref="B5:D5">
    <cfRule type="dataBar" priority="11">
      <dataBar>
        <cfvo type="min"/>
        <cfvo type="max"/>
        <color rgb="FF638EC6"/>
      </dataBar>
    </cfRule>
  </conditionalFormatting>
  <conditionalFormatting sqref="A14:E14">
    <cfRule type="dataBar" priority="10">
      <dataBar>
        <cfvo type="min"/>
        <cfvo type="max"/>
        <color rgb="FF638EC6"/>
      </dataBar>
    </cfRule>
  </conditionalFormatting>
  <conditionalFormatting sqref="I2 K2">
    <cfRule type="dataBar" priority="9">
      <dataBar>
        <cfvo type="min"/>
        <cfvo type="max"/>
        <color rgb="FF638EC6"/>
      </dataBar>
    </cfRule>
  </conditionalFormatting>
  <conditionalFormatting sqref="A1:D1">
    <cfRule type="dataBar" priority="8">
      <dataBar>
        <cfvo type="min"/>
        <cfvo type="max"/>
        <color rgb="FF638EC6"/>
      </dataBar>
    </cfRule>
  </conditionalFormatting>
  <conditionalFormatting sqref="F14">
    <cfRule type="dataBar" priority="7">
      <dataBar>
        <cfvo type="min"/>
        <cfvo type="max"/>
        <color rgb="FF638EC6"/>
      </dataBar>
    </cfRule>
  </conditionalFormatting>
  <conditionalFormatting sqref="F19">
    <cfRule type="dataBar" priority="6">
      <dataBar>
        <cfvo type="min"/>
        <cfvo type="max"/>
        <color rgb="FF638EC6"/>
      </dataBar>
    </cfRule>
  </conditionalFormatting>
  <conditionalFormatting sqref="F23">
    <cfRule type="dataBar" priority="5">
      <dataBar>
        <cfvo type="min"/>
        <cfvo type="max"/>
        <color rgb="FF638EC6"/>
      </dataBar>
    </cfRule>
  </conditionalFormatting>
  <conditionalFormatting sqref="F28">
    <cfRule type="dataBar" priority="4">
      <dataBar>
        <cfvo type="min"/>
        <cfvo type="max"/>
        <color rgb="FF638EC6"/>
      </dataBar>
    </cfRule>
  </conditionalFormatting>
  <conditionalFormatting sqref="A13">
    <cfRule type="dataBar" priority="3">
      <dataBar>
        <cfvo type="min"/>
        <cfvo type="max"/>
        <color rgb="FF638EC6"/>
      </dataBar>
    </cfRule>
  </conditionalFormatting>
  <conditionalFormatting sqref="A4">
    <cfRule type="dataBar" priority="2">
      <dataBar>
        <cfvo type="min"/>
        <cfvo type="max"/>
        <color rgb="FF638EC6"/>
      </dataBar>
    </cfRule>
  </conditionalFormatting>
  <conditionalFormatting sqref="A5">
    <cfRule type="dataBar" priority="1">
      <dataBar>
        <cfvo type="min"/>
        <cfvo type="max"/>
        <color rgb="FF638EC6"/>
      </dataBar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5A34F1-BD27-4194-9C94-727FB7114E61}">
            <x14:dataBar axisPosition="none">
              <x14:cfvo type="min"/>
              <x14:cfvo type="max"/>
              <x14:negativeFillColor rgb="FF638EC6"/>
            </x14:dataBar>
          </x14:cfRule>
          <xm:sqref>F8</xm:sqref>
        </x14:conditionalFormatting>
        <x14:conditionalFormatting xmlns:xm="http://schemas.microsoft.com/office/excel/2006/main">
          <x14:cfRule type="dataBar" id="{E831BA2F-2616-4B12-95F9-C471F860DF84}">
            <x14:dataBar axisPosition="none">
              <x14:cfvo type="min"/>
              <x14:cfvo type="max"/>
              <x14:negativeFillColor rgb="FF638EC6"/>
            </x14:dataBar>
          </x14:cfRule>
          <xm:sqref>E5</xm:sqref>
        </x14:conditionalFormatting>
        <x14:conditionalFormatting xmlns:xm="http://schemas.microsoft.com/office/excel/2006/main">
          <x14:cfRule type="dataBar" id="{25819BB3-3DA0-4AC9-BF43-6065B6D04E61}">
            <x14:dataBar axisPosition="none">
              <x14:cfvo type="min"/>
              <x14:cfvo type="max"/>
              <x14:negativeFillColor rgb="FF638EC6"/>
            </x14:dataBar>
          </x14:cfRule>
          <xm:sqref>E1</xm:sqref>
        </x14:conditionalFormatting>
        <x14:conditionalFormatting xmlns:xm="http://schemas.microsoft.com/office/excel/2006/main">
          <x14:cfRule type="dataBar" id="{201887AF-91BD-4AD0-A31C-7F4A1AB97689}">
            <x14:dataBar axisPosition="none">
              <x14:cfvo type="min"/>
              <x14:cfvo type="max"/>
              <x14:negativeFillColor rgb="FF638EC6"/>
            </x14:dataBar>
          </x14:cfRule>
          <xm:sqref>F15</xm:sqref>
        </x14:conditionalFormatting>
        <x14:conditionalFormatting xmlns:xm="http://schemas.microsoft.com/office/excel/2006/main">
          <x14:cfRule type="dataBar" id="{37A06AFD-7030-45FF-9B3F-3581A5A26DE7}">
            <x14:dataBar axisPosition="none">
              <x14:cfvo type="min"/>
              <x14:cfvo type="max"/>
              <x14:negativeFillColor rgb="FF638EC6"/>
            </x14:dataBar>
          </x14:cfRule>
          <xm:sqref>F20</xm:sqref>
        </x14:conditionalFormatting>
        <x14:conditionalFormatting xmlns:xm="http://schemas.microsoft.com/office/excel/2006/main">
          <x14:cfRule type="dataBar" id="{D0123588-1645-4950-8F94-3A62EF801829}">
            <x14:dataBar axisPosition="none">
              <x14:cfvo type="min"/>
              <x14:cfvo type="max"/>
              <x14:negativeFillColor rgb="FF638EC6"/>
            </x14:dataBar>
          </x14:cfRule>
          <xm:sqref>F24</xm:sqref>
        </x14:conditionalFormatting>
        <x14:conditionalFormatting xmlns:xm="http://schemas.microsoft.com/office/excel/2006/main">
          <x14:cfRule type="dataBar" id="{774E33C7-C489-4FFB-8265-D11A38DBE939}">
            <x14:dataBar axisPosition="none">
              <x14:cfvo type="min"/>
              <x14:cfvo type="max"/>
              <x14:negativeFillColor rgb="FF638EC6"/>
            </x14:dataBar>
          </x14:cfRule>
          <xm:sqref>F29</xm:sqref>
        </x14:conditionalFormatting>
        <x14:conditionalFormatting xmlns:xm="http://schemas.microsoft.com/office/excel/2006/main">
          <x14:cfRule type="dataBar" id="{166351B3-6048-4C10-AE10-F9C3D4492522}">
            <x14:dataBar axisPosition="none">
              <x14:cfvo type="min"/>
              <x14:cfvo type="max"/>
              <x14:negativeFillColor rgb="FF638EC6"/>
            </x14:dataBar>
          </x14:cfRule>
          <xm:sqref>G2</xm:sqref>
        </x14:conditionalFormatting>
        <x14:conditionalFormatting xmlns:xm="http://schemas.microsoft.com/office/excel/2006/main">
          <x14:cfRule type="dataBar" id="{5B876730-9C40-485A-AB9A-6510F57A8379}">
            <x14:dataBar axisPosition="none">
              <x14:cfvo type="min"/>
              <x14:cfvo type="max"/>
              <x14:negativeFillColor rgb="FF638EC6"/>
            </x14:dataBar>
          </x14:cfRule>
          <xm:sqref>H1</xm:sqref>
        </x14:conditionalFormatting>
        <x14:conditionalFormatting xmlns:xm="http://schemas.microsoft.com/office/excel/2006/main">
          <x14:cfRule type="dataBar" id="{AF315788-8F30-4CC3-B06D-511BE37D7F74}">
            <x14:dataBar axisPosition="none">
              <x14:cfvo type="min"/>
              <x14:cfvo type="max"/>
              <x14:negativeFillColor rgb="FF638EC6"/>
            </x14:dataBar>
          </x14:cfRule>
          <xm:sqref>J1</xm:sqref>
        </x14:conditionalFormatting>
        <x14:conditionalFormatting xmlns:xm="http://schemas.microsoft.com/office/excel/2006/main">
          <x14:cfRule type="dataBar" id="{30F9C850-D0B9-47AF-87C9-E2F572C25D3E}">
            <x14:dataBar axisPosition="none">
              <x14:cfvo type="min"/>
              <x14:cfvo type="max"/>
              <x14:negativeFillColor rgb="FF638EC6"/>
            </x14:dataBar>
          </x14:cfRule>
          <xm:sqref>L1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Gram_Panchayat_Master</vt:lpstr>
      <vt:lpstr>Village_Master</vt:lpstr>
      <vt:lpstr>Booth_Master</vt:lpstr>
      <vt:lpstr>Election_Result_2022</vt:lpstr>
      <vt:lpstr>Caste_Data</vt:lpstr>
      <vt:lpstr>Influential_Persons</vt:lpstr>
      <vt:lpstr>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Vikas Kumar</dc:creator>
  <dc:description/>
  <cp:lastModifiedBy>Vikas Kumar</cp:lastModifiedBy>
  <cp:revision>0</cp:revision>
  <cp:lastPrinted>2026-06-22T06:11:36Z</cp:lastPrinted>
  <dcterms:created xsi:type="dcterms:W3CDTF">2026-06-16T17:26:47Z</dcterms:created>
  <dcterms:modified xsi:type="dcterms:W3CDTF">2026-06-22T06:12:03Z</dcterms:modified>
  <dc:language>en-US</dc:language>
</cp:coreProperties>
</file>