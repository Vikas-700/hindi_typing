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F68E77A5-1C73-434D-BE14-0C4AA0106B75}" xr6:coauthVersionLast="47" xr6:coauthVersionMax="47" xr10:uidLastSave="{00000000-0000-0000-0000-000000000000}"/>
  <bookViews>
    <workbookView xWindow="-120" yWindow="-120" windowWidth="20730" windowHeight="11040" tabRatio="500" firstSheet="3" activeTab="6" xr2:uid="{00000000-000D-0000-FFFF-FFFF00000000}"/>
  </bookViews>
  <sheets>
    <sheet name="Gram_Panchayat_Master" sheetId="1" r:id="rId1"/>
    <sheet name="Village_Master" sheetId="2" r:id="rId2"/>
    <sheet name="Booth_Master" sheetId="3" r:id="rId3"/>
    <sheet name="Election_Result_2022" sheetId="4" r:id="rId4"/>
    <sheet name="Caste_Data" sheetId="5" r:id="rId5"/>
    <sheet name="Influential_Persons" sheetId="6" r:id="rId6"/>
    <sheet name="Search" sheetId="7" r:id="rId7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7" l="1"/>
  <c r="E14" i="7"/>
  <c r="D13" i="7"/>
  <c r="D14" i="7"/>
  <c r="C13" i="7"/>
  <c r="C14" i="7"/>
  <c r="B13" i="7"/>
  <c r="B14" i="7"/>
  <c r="A13" i="7"/>
  <c r="A14" i="7"/>
  <c r="E11" i="7"/>
  <c r="E12" i="7"/>
  <c r="D11" i="7"/>
  <c r="D12" i="7"/>
  <c r="C11" i="7"/>
  <c r="C12" i="7"/>
  <c r="B11" i="7"/>
  <c r="B12" i="7"/>
  <c r="A11" i="7"/>
  <c r="A12" i="7"/>
  <c r="B24" i="7"/>
  <c r="H11" i="7" s="1"/>
  <c r="B23" i="7"/>
  <c r="E21" i="7" s="1"/>
  <c r="A19" i="7"/>
  <c r="G7" i="7"/>
  <c r="J5" i="7"/>
  <c r="N9" i="6"/>
  <c r="M9" i="6"/>
  <c r="L9" i="6"/>
  <c r="K9" i="6"/>
  <c r="J9" i="6"/>
  <c r="I9" i="6"/>
  <c r="N8" i="6"/>
  <c r="M8" i="6"/>
  <c r="L8" i="6"/>
  <c r="K8" i="6"/>
  <c r="J8" i="6"/>
  <c r="I8" i="6"/>
  <c r="N7" i="6"/>
  <c r="M7" i="6"/>
  <c r="L7" i="6"/>
  <c r="K7" i="6"/>
  <c r="J7" i="6"/>
  <c r="I7" i="6"/>
  <c r="N6" i="6"/>
  <c r="M6" i="6"/>
  <c r="L6" i="6"/>
  <c r="K6" i="6"/>
  <c r="J6" i="6"/>
  <c r="I6" i="6"/>
  <c r="H3" i="7" l="1"/>
  <c r="I9" i="7"/>
  <c r="G16" i="7"/>
  <c r="H2" i="7"/>
  <c r="I2" i="7"/>
  <c r="I7" i="7"/>
  <c r="L3" i="7"/>
  <c r="A4" i="7"/>
  <c r="C4" i="7" s="1"/>
  <c r="L5" i="7"/>
  <c r="J9" i="7"/>
  <c r="E19" i="7"/>
  <c r="A3" i="7"/>
  <c r="E3" i="7" s="1"/>
  <c r="J4" i="7"/>
  <c r="C17" i="7"/>
  <c r="J6" i="7"/>
  <c r="J7" i="7"/>
  <c r="I10" i="7"/>
  <c r="B18" i="7"/>
  <c r="C20" i="7"/>
  <c r="L4" i="7"/>
  <c r="L6" i="7"/>
  <c r="I8" i="7"/>
  <c r="H13" i="7"/>
  <c r="C18" i="7"/>
  <c r="D20" i="7"/>
  <c r="J8" i="7"/>
  <c r="J10" i="7"/>
  <c r="D17" i="7"/>
  <c r="B19" i="7"/>
  <c r="B21" i="7"/>
  <c r="G19" i="7"/>
  <c r="C21" i="7"/>
  <c r="B1" i="7"/>
  <c r="K2" i="7"/>
  <c r="I3" i="7"/>
  <c r="H4" i="7"/>
  <c r="A5" i="7"/>
  <c r="A6" i="7"/>
  <c r="A7" i="7"/>
  <c r="L7" i="7"/>
  <c r="L8" i="7"/>
  <c r="L9" i="7"/>
  <c r="L10" i="7"/>
  <c r="A17" i="7"/>
  <c r="E17" i="7"/>
  <c r="D18" i="7"/>
  <c r="C19" i="7"/>
  <c r="A20" i="7"/>
  <c r="E20" i="7"/>
  <c r="D21" i="7"/>
  <c r="H1" i="7"/>
  <c r="M2" i="7"/>
  <c r="J3" i="7"/>
  <c r="I4" i="7"/>
  <c r="I5" i="7"/>
  <c r="I6" i="7"/>
  <c r="A8" i="7"/>
  <c r="A9" i="7"/>
  <c r="A10" i="7"/>
  <c r="B17" i="7"/>
  <c r="A18" i="7"/>
  <c r="E18" i="7"/>
  <c r="D19" i="7"/>
  <c r="B20" i="7"/>
  <c r="A21" i="7"/>
  <c r="D4" i="7" l="1"/>
  <c r="B4" i="7"/>
  <c r="E4" i="7"/>
  <c r="D3" i="7"/>
  <c r="C3" i="7"/>
  <c r="B3" i="7"/>
  <c r="B10" i="7"/>
  <c r="E10" i="7"/>
  <c r="D10" i="7"/>
  <c r="C10" i="7"/>
  <c r="B9" i="7"/>
  <c r="E9" i="7"/>
  <c r="D9" i="7"/>
  <c r="C9" i="7"/>
  <c r="C7" i="7"/>
  <c r="B7" i="7"/>
  <c r="E7" i="7"/>
  <c r="D7" i="7"/>
  <c r="B8" i="7"/>
  <c r="E8" i="7"/>
  <c r="D8" i="7"/>
  <c r="C8" i="7"/>
  <c r="B6" i="7"/>
  <c r="E6" i="7"/>
  <c r="D6" i="7"/>
  <c r="C6" i="7"/>
  <c r="C5" i="7"/>
  <c r="B5" i="7"/>
  <c r="E5" i="7"/>
  <c r="D5" i="7"/>
</calcChain>
</file>

<file path=xl/sharedStrings.xml><?xml version="1.0" encoding="utf-8"?>
<sst xmlns="http://schemas.openxmlformats.org/spreadsheetml/2006/main" count="307" uniqueCount="176">
  <si>
    <t>GP_ID</t>
  </si>
  <si>
    <t>Gram_Panchayat</t>
  </si>
  <si>
    <t>Block</t>
  </si>
  <si>
    <t>Tehsil</t>
  </si>
  <si>
    <t>District</t>
  </si>
  <si>
    <t>Vidhansabha</t>
  </si>
  <si>
    <t>Bihavior Of Prashant Patel</t>
  </si>
  <si>
    <t>मुख्य_समस्या</t>
  </si>
  <si>
    <t>विशेष_टिप्पणी</t>
  </si>
  <si>
    <t>Muslim Vote Devidetion</t>
  </si>
  <si>
    <t>Form Photo</t>
  </si>
  <si>
    <t>GP001</t>
  </si>
  <si>
    <t>Bithri Chainpur</t>
  </si>
  <si>
    <t>Bareilly</t>
  </si>
  <si>
    <t>Bhojipura</t>
  </si>
  <si>
    <t>Good</t>
  </si>
  <si>
    <t>पेयजल समस्या</t>
  </si>
  <si>
    <t>युवाओं में बेरोजगारी अधिक</t>
  </si>
  <si>
    <t>थोडा होगा लेकिन जयादा असर नहीं पड़ेगा</t>
  </si>
  <si>
    <t>GP002</t>
  </si>
  <si>
    <t>Avrage</t>
  </si>
  <si>
    <t>सड़क खराब</t>
  </si>
  <si>
    <t>किसान सिंचाई की मांग कर रहे हैं</t>
  </si>
  <si>
    <t>खास असर नहीं होगा</t>
  </si>
  <si>
    <t>Kalari</t>
  </si>
  <si>
    <t>Village_ID</t>
  </si>
  <si>
    <t>Village_Name</t>
  </si>
  <si>
    <t>V001</t>
  </si>
  <si>
    <t>V002</t>
  </si>
  <si>
    <t>V003</t>
  </si>
  <si>
    <t>Booth_ID</t>
  </si>
  <si>
    <t>Booth_No_Old</t>
  </si>
  <si>
    <t>Both_No_New</t>
  </si>
  <si>
    <t>Total_Voters</t>
  </si>
  <si>
    <t>Male_Voters</t>
  </si>
  <si>
    <t>Female_Voters</t>
  </si>
  <si>
    <t>B001</t>
  </si>
  <si>
    <t>B002</t>
  </si>
  <si>
    <t>B003</t>
  </si>
  <si>
    <t>B004</t>
  </si>
  <si>
    <t>B005</t>
  </si>
  <si>
    <t>B006</t>
  </si>
  <si>
    <t>Election_ID</t>
  </si>
  <si>
    <t>BJP_Votes</t>
  </si>
  <si>
    <t>SP_Votes</t>
  </si>
  <si>
    <t>BSP_Votes</t>
  </si>
  <si>
    <t>E001</t>
  </si>
  <si>
    <t>E002</t>
  </si>
  <si>
    <t>E003</t>
  </si>
  <si>
    <t>E004</t>
  </si>
  <si>
    <t>E005</t>
  </si>
  <si>
    <t>E006</t>
  </si>
  <si>
    <t>Caste_ID</t>
  </si>
  <si>
    <t>Religion</t>
  </si>
  <si>
    <t>Caste_Name</t>
  </si>
  <si>
    <t>Voters</t>
  </si>
  <si>
    <t>C001</t>
  </si>
  <si>
    <t>Hindu</t>
  </si>
  <si>
    <t>C002</t>
  </si>
  <si>
    <t>Jatav</t>
  </si>
  <si>
    <t>C003</t>
  </si>
  <si>
    <t>C004</t>
  </si>
  <si>
    <t>Kurmi</t>
  </si>
  <si>
    <t>C005</t>
  </si>
  <si>
    <t>Muslim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</si>
  <si>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</si>
  <si>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</si>
  <si>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</si>
  <si>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</si>
  <si>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</si>
  <si>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</si>
  <si>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</si>
  <si>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</si>
  <si>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</si>
  <si>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</si>
  <si>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</si>
  <si>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</si>
  <si>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</si>
  <si>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Person_ID</t>
  </si>
  <si>
    <t>Name</t>
  </si>
  <si>
    <t>Role</t>
  </si>
  <si>
    <t>Mobile</t>
  </si>
  <si>
    <t>Political_Affiliation</t>
  </si>
  <si>
    <t>P001</t>
  </si>
  <si>
    <t>Gram Pradhan</t>
  </si>
  <si>
    <t>BJP</t>
  </si>
  <si>
    <t>P002</t>
  </si>
  <si>
    <t>Former Pradhan</t>
  </si>
  <si>
    <t>SP</t>
  </si>
  <si>
    <t>P003</t>
  </si>
  <si>
    <t>BDC Member</t>
  </si>
  <si>
    <t>P004</t>
  </si>
  <si>
    <t>P005</t>
  </si>
  <si>
    <t>P006</t>
  </si>
  <si>
    <t>P007</t>
  </si>
  <si>
    <t>Pradhan Candidate</t>
  </si>
  <si>
    <t>P008</t>
  </si>
  <si>
    <t>Influential</t>
  </si>
  <si>
    <t>P009</t>
  </si>
  <si>
    <t>BSP</t>
  </si>
  <si>
    <t>P010</t>
  </si>
  <si>
    <t>Enter Village Name</t>
  </si>
  <si>
    <t>Gram Panchayat</t>
  </si>
  <si>
    <t>All Villege</t>
  </si>
  <si>
    <t>Total Vote</t>
  </si>
  <si>
    <t xml:space="preserve">Total Vote </t>
  </si>
  <si>
    <t>Political Affiliation</t>
  </si>
  <si>
    <t>Hindu Cast</t>
  </si>
  <si>
    <t>Muslim Cast</t>
  </si>
  <si>
    <t>Vidhan Sabha</t>
  </si>
  <si>
    <t>2022 Result</t>
  </si>
  <si>
    <t>Old Both Number</t>
  </si>
  <si>
    <t>New Both Number</t>
  </si>
  <si>
    <t>Muslim Vote devidation</t>
  </si>
  <si>
    <t>Village_ID (helper)</t>
  </si>
  <si>
    <t>GP_ID (helper)</t>
  </si>
  <si>
    <t>P011</t>
  </si>
  <si>
    <t>Nagariya Kalan</t>
  </si>
  <si>
    <t xml:space="preserve">Both Condition </t>
  </si>
  <si>
    <t>Strong</t>
  </si>
  <si>
    <t>Weak</t>
  </si>
  <si>
    <t>Very Weak</t>
  </si>
  <si>
    <t>Kashyap</t>
  </si>
  <si>
    <t>Mourya</t>
  </si>
  <si>
    <t>Dhobi</t>
  </si>
  <si>
    <t>Anshari</t>
  </si>
  <si>
    <t>Pathan</t>
  </si>
  <si>
    <t>Alvi</t>
  </si>
  <si>
    <t>Others</t>
  </si>
  <si>
    <t>C019</t>
  </si>
  <si>
    <t>Badhai</t>
  </si>
  <si>
    <t>Sahu</t>
  </si>
  <si>
    <t>Mevati</t>
  </si>
  <si>
    <t>Salmani</t>
  </si>
  <si>
    <t>Mansuri</t>
  </si>
  <si>
    <t>Lohar</t>
  </si>
  <si>
    <t>Nai</t>
  </si>
  <si>
    <t>C020</t>
  </si>
  <si>
    <t>C021</t>
  </si>
  <si>
    <t>C022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</si>
  <si>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</si>
  <si>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</si>
  <si>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</si>
  <si>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</si>
  <si>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</si>
  <si>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</si>
  <si>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</si>
  <si>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</si>
  <si>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</si>
  <si>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</si>
  <si>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</si>
  <si>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Nasreen</t>
  </si>
  <si>
    <t>Khem Raj</t>
  </si>
  <si>
    <t>Faizan</t>
  </si>
  <si>
    <t>Reyaj Ahmad</t>
  </si>
  <si>
    <t>Raheem Kha</t>
  </si>
  <si>
    <t>Ejakat Kha</t>
  </si>
  <si>
    <t>Hmeed Rza Kha</t>
  </si>
  <si>
    <t>Chheda Lal</t>
  </si>
  <si>
    <t>Jamuna Prashad</t>
  </si>
  <si>
    <t>Mangle Lal</t>
  </si>
  <si>
    <t>Hasnen</t>
  </si>
  <si>
    <t>Edrees</t>
  </si>
  <si>
    <t>ShahaJi Kamal</t>
  </si>
  <si>
    <t>Tarikh Anshari</t>
  </si>
  <si>
    <t>Naresh</t>
  </si>
  <si>
    <t>Stya Pal</t>
  </si>
  <si>
    <t>Mahesh Pal</t>
  </si>
  <si>
    <t>Ashif Khan</t>
  </si>
  <si>
    <t>Naik Ahmad</t>
  </si>
  <si>
    <t>Nanhe Lal</t>
  </si>
  <si>
    <t>Raghunath</t>
  </si>
  <si>
    <t>Naseer</t>
  </si>
  <si>
    <t>Kotedar</t>
  </si>
  <si>
    <t>BDC Candidate</t>
  </si>
  <si>
    <t>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</si>
</sst>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FreeSans"/>
      <family val="2"/>
      <charset val="1"/>
    </font>
    <font>
      <sz val="11"/>
      <color theme="1"/>
      <name val="FreeSans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/>
    <xf numFmtId="0" fontId="1" fillId="0" borderId="7" xfId="0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2" xfId="0" applyFont="1" applyBorder="1"/>
    <xf numFmtId="0" fontId="0" fillId="0" borderId="11" xfId="0" applyBorder="1"/>
    <xf numFmtId="0" fontId="0" fillId="0" borderId="1" xfId="0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zoomScaleNormal="100" workbookViewId="0">
      <selection activeCell="K3" sqref="K3"/>
    </sheetView>
  </sheetViews>
  <sheetFormatPr defaultColWidth="8.7109375" defaultRowHeight="15"/>
  <cols>
    <col min="1" max="1" width="6.42578125" customWidth="1"/>
    <col min="10" max="10" width="16.85546875" customWidth="1"/>
  </cols>
  <sheetData>
    <row r="1" spans="1:11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spans="1:11" ht="45" customHeight="1">
      <c r="A2" s="3" t="s">
        <v>11</v>
      </c>
      <c r="B2" s="3" t="s">
        <v>24</v>
      </c>
      <c r="C2" s="3" t="s">
        <v>12</v>
      </c>
      <c r="D2" s="3" t="s">
        <v>13</v>
      </c>
      <c r="E2" s="3" t="s">
        <v>13</v>
      </c>
      <c r="F2" s="3" t="s">
        <v>14</v>
      </c>
      <c r="G2" s="3" t="s">
        <v>15</v>
      </c>
      <c r="H2" s="4" t="s">
        <v>16</v>
      </c>
      <c r="I2" s="4" t="s">
        <v>17</v>
      </c>
      <c r="J2" s="4" t="s">
        <v>18</v>
      </c>
    </row>
    <row r="3" spans="1:11" ht="60" customHeight="1">
      <c r="A3" s="3" t="s">
        <v>19</v>
      </c>
      <c r="B3" s="3" t="s">
        <v>117</v>
      </c>
      <c r="C3" s="3" t="s">
        <v>12</v>
      </c>
      <c r="D3" s="3" t="s">
        <v>13</v>
      </c>
      <c r="E3" s="3" t="s">
        <v>13</v>
      </c>
      <c r="F3" s="3" t="s">
        <v>14</v>
      </c>
      <c r="G3" s="3" t="s">
        <v>20</v>
      </c>
      <c r="H3" s="4" t="s">
        <v>21</v>
      </c>
      <c r="I3" s="4" t="s">
        <v>22</v>
      </c>
      <c r="J3" s="4" t="s">
        <v>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zoomScaleNormal="100" workbookViewId="0">
      <selection activeCell="B5" sqref="B5"/>
    </sheetView>
  </sheetViews>
  <sheetFormatPr defaultColWidth="8.7109375" defaultRowHeight="15"/>
  <sheetData>
    <row r="1" spans="1:3" ht="30" customHeight="1">
      <c r="A1" s="1" t="s">
        <v>25</v>
      </c>
      <c r="B1" s="1" t="s">
        <v>0</v>
      </c>
      <c r="C1" s="1" t="s">
        <v>26</v>
      </c>
    </row>
    <row r="2" spans="1:3" ht="15" customHeight="1">
      <c r="A2" s="3" t="s">
        <v>27</v>
      </c>
      <c r="B2" s="3" t="s">
        <v>11</v>
      </c>
      <c r="C2" s="3" t="s">
        <v>24</v>
      </c>
    </row>
    <row r="3" spans="1:3" ht="15" customHeight="1">
      <c r="A3" s="3" t="s">
        <v>28</v>
      </c>
      <c r="B3" s="3" t="s">
        <v>19</v>
      </c>
      <c r="C3" s="3" t="s">
        <v>117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zoomScaleNormal="100" workbookViewId="0">
      <selection activeCell="G17" sqref="F17:G19"/>
    </sheetView>
  </sheetViews>
  <sheetFormatPr defaultColWidth="8.7109375" defaultRowHeight="15"/>
  <sheetData>
    <row r="1" spans="1:8" ht="30" customHeight="1">
      <c r="A1" s="1" t="s">
        <v>30</v>
      </c>
      <c r="B1" s="1" t="s">
        <v>25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118</v>
      </c>
    </row>
    <row r="2" spans="1:8" ht="15" customHeight="1">
      <c r="A2" s="3" t="s">
        <v>36</v>
      </c>
      <c r="B2" s="3" t="s">
        <v>27</v>
      </c>
      <c r="C2" s="3">
        <v>271</v>
      </c>
      <c r="D2" s="3">
        <v>271</v>
      </c>
      <c r="E2" s="3">
        <v>848</v>
      </c>
      <c r="F2" s="3">
        <v>443</v>
      </c>
      <c r="G2" s="3">
        <v>405</v>
      </c>
      <c r="H2" t="s">
        <v>119</v>
      </c>
    </row>
    <row r="3" spans="1:8" ht="15" customHeight="1">
      <c r="A3" s="3" t="s">
        <v>37</v>
      </c>
      <c r="B3" s="3" t="s">
        <v>27</v>
      </c>
      <c r="C3" s="3">
        <v>272</v>
      </c>
      <c r="D3" s="3">
        <v>272</v>
      </c>
      <c r="E3" s="3">
        <v>833</v>
      </c>
      <c r="F3" s="3">
        <v>433</v>
      </c>
      <c r="G3" s="3">
        <v>400</v>
      </c>
      <c r="H3" t="s">
        <v>120</v>
      </c>
    </row>
    <row r="4" spans="1:8" ht="15" customHeight="1">
      <c r="A4" s="3" t="s">
        <v>38</v>
      </c>
      <c r="B4" s="3" t="s">
        <v>27</v>
      </c>
      <c r="C4" s="3">
        <v>273</v>
      </c>
      <c r="D4" s="3">
        <v>273</v>
      </c>
      <c r="E4" s="3">
        <v>1084</v>
      </c>
      <c r="F4" s="3">
        <v>586</v>
      </c>
      <c r="G4" s="3">
        <v>498</v>
      </c>
      <c r="H4" t="s">
        <v>120</v>
      </c>
    </row>
    <row r="5" spans="1:8" ht="15" customHeight="1">
      <c r="A5" s="3" t="s">
        <v>39</v>
      </c>
      <c r="B5" s="3" t="s">
        <v>28</v>
      </c>
      <c r="C5" s="3">
        <v>402</v>
      </c>
      <c r="D5" s="3">
        <v>409</v>
      </c>
      <c r="E5" s="3">
        <v>913</v>
      </c>
      <c r="F5" s="3">
        <v>497</v>
      </c>
      <c r="G5" s="3">
        <v>416</v>
      </c>
      <c r="H5" t="s">
        <v>121</v>
      </c>
    </row>
    <row r="6" spans="1:8" ht="15" customHeight="1">
      <c r="A6" s="3" t="s">
        <v>40</v>
      </c>
      <c r="B6" s="3" t="s">
        <v>28</v>
      </c>
      <c r="C6" s="3">
        <v>403</v>
      </c>
      <c r="D6" s="3">
        <v>410</v>
      </c>
      <c r="E6" s="3">
        <v>890</v>
      </c>
      <c r="F6" s="3">
        <v>489</v>
      </c>
      <c r="G6" s="3">
        <v>401</v>
      </c>
      <c r="H6" t="s">
        <v>121</v>
      </c>
    </row>
    <row r="7" spans="1:8" ht="15" customHeight="1">
      <c r="A7" s="3" t="s">
        <v>41</v>
      </c>
      <c r="B7" s="3" t="s">
        <v>28</v>
      </c>
      <c r="C7" s="3">
        <v>404</v>
      </c>
      <c r="D7" s="3">
        <v>411</v>
      </c>
      <c r="E7" s="3">
        <v>991</v>
      </c>
      <c r="F7" s="3">
        <v>542</v>
      </c>
      <c r="G7" s="3">
        <v>449</v>
      </c>
      <c r="H7" t="s">
        <v>121</v>
      </c>
    </row>
    <row r="8" spans="1:8" ht="15" customHeight="1"/>
    <row r="9" spans="1:8" ht="15" customHeight="1"/>
    <row r="10" spans="1:8" ht="15" customHeight="1"/>
    <row r="11" spans="1:8" ht="15" customHeight="1"/>
    <row r="12" spans="1:8" ht="15" customHeight="1"/>
    <row r="13" spans="1:8" ht="15" customHeight="1"/>
    <row r="14" spans="1:8" ht="15" customHeight="1"/>
    <row r="15" spans="1:8" ht="15" customHeight="1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zoomScaleNormal="100" workbookViewId="0">
      <selection activeCell="E7" sqref="E7"/>
    </sheetView>
  </sheetViews>
  <sheetFormatPr defaultColWidth="8.7109375" defaultRowHeight="15"/>
  <sheetData>
    <row r="1" spans="1:5" ht="30" customHeight="1">
      <c r="A1" s="1" t="s">
        <v>42</v>
      </c>
      <c r="B1" s="1" t="s">
        <v>30</v>
      </c>
      <c r="C1" s="1" t="s">
        <v>43</v>
      </c>
      <c r="D1" s="1" t="s">
        <v>44</v>
      </c>
      <c r="E1" s="1" t="s">
        <v>45</v>
      </c>
    </row>
    <row r="2" spans="1:5" ht="15" customHeight="1">
      <c r="A2" s="3" t="s">
        <v>46</v>
      </c>
      <c r="B2" s="3" t="s">
        <v>36</v>
      </c>
      <c r="C2" s="3">
        <v>310</v>
      </c>
      <c r="D2" s="3">
        <v>250</v>
      </c>
      <c r="E2" s="3">
        <v>120</v>
      </c>
    </row>
    <row r="3" spans="1:5" ht="15" customHeight="1">
      <c r="A3" s="3" t="s">
        <v>47</v>
      </c>
      <c r="B3" s="3" t="s">
        <v>37</v>
      </c>
      <c r="C3" s="3">
        <v>100</v>
      </c>
      <c r="D3" s="3">
        <v>270</v>
      </c>
      <c r="E3" s="3">
        <v>100</v>
      </c>
    </row>
    <row r="4" spans="1:5" ht="15" customHeight="1">
      <c r="A4" s="3" t="s">
        <v>48</v>
      </c>
      <c r="B4" s="3" t="s">
        <v>38</v>
      </c>
      <c r="C4" s="3">
        <v>180</v>
      </c>
      <c r="D4" s="3">
        <v>300</v>
      </c>
      <c r="E4" s="3">
        <v>90</v>
      </c>
    </row>
    <row r="5" spans="1:5" ht="15" customHeight="1">
      <c r="A5" s="3" t="s">
        <v>49</v>
      </c>
      <c r="B5" s="3" t="s">
        <v>39</v>
      </c>
      <c r="C5" s="3">
        <v>35</v>
      </c>
      <c r="D5" s="3">
        <v>430</v>
      </c>
      <c r="E5" s="3">
        <v>98</v>
      </c>
    </row>
    <row r="6" spans="1:5" ht="15" customHeight="1">
      <c r="A6" s="3" t="s">
        <v>50</v>
      </c>
      <c r="B6" s="3" t="s">
        <v>40</v>
      </c>
      <c r="C6" s="3">
        <v>92</v>
      </c>
      <c r="D6" s="3">
        <v>356</v>
      </c>
      <c r="E6" s="3">
        <v>205</v>
      </c>
    </row>
    <row r="7" spans="1:5" ht="15" customHeight="1">
      <c r="A7" s="3" t="s">
        <v>51</v>
      </c>
      <c r="B7" s="3" t="s">
        <v>41</v>
      </c>
      <c r="C7" s="3">
        <v>15</v>
      </c>
      <c r="D7" s="3">
        <v>499</v>
      </c>
      <c r="E7" s="3">
        <v>158</v>
      </c>
    </row>
    <row r="8" spans="1:5" ht="15" customHeight="1">
      <c r="A8" s="3"/>
      <c r="B8" s="3"/>
      <c r="C8" s="3"/>
      <c r="D8" s="3"/>
      <c r="E8" s="3"/>
    </row>
    <row r="9" spans="1:5" ht="15" customHeight="1">
      <c r="A9" s="3"/>
      <c r="B9" s="3"/>
      <c r="C9" s="3"/>
      <c r="D9" s="3"/>
      <c r="E9" s="3"/>
    </row>
    <row r="10" spans="1:5" ht="15" customHeight="1">
      <c r="A10" s="3"/>
      <c r="B10" s="3"/>
      <c r="C10" s="3"/>
      <c r="D10" s="3"/>
      <c r="E10" s="3"/>
    </row>
    <row r="11" spans="1:5" ht="15" customHeight="1">
      <c r="A11" s="3"/>
      <c r="B11" s="3"/>
      <c r="C11" s="3"/>
      <c r="D11" s="3"/>
      <c r="E11" s="3"/>
    </row>
    <row r="12" spans="1:5" ht="15" customHeight="1">
      <c r="A12" s="3"/>
      <c r="B12" s="3"/>
      <c r="C12" s="3"/>
      <c r="D12" s="3"/>
      <c r="E12" s="3"/>
    </row>
    <row r="13" spans="1:5" ht="15" customHeight="1">
      <c r="A13" s="3"/>
      <c r="B13" s="3"/>
      <c r="C13" s="3"/>
      <c r="D13" s="3"/>
      <c r="E13" s="3"/>
    </row>
    <row r="14" spans="1:5" ht="15" customHeight="1">
      <c r="A14" s="3"/>
      <c r="B14" s="3"/>
      <c r="C14" s="3"/>
      <c r="D14" s="3"/>
      <c r="E14" s="3"/>
    </row>
    <row r="15" spans="1:5" ht="15" customHeight="1">
      <c r="A15" s="3"/>
      <c r="B15" s="3"/>
      <c r="C15" s="3"/>
      <c r="D15" s="3"/>
      <c r="E15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topLeftCell="A5" zoomScaleNormal="100" workbookViewId="0">
      <selection activeCell="G19" sqref="G19"/>
    </sheetView>
  </sheetViews>
  <sheetFormatPr defaultColWidth="8.7109375" defaultRowHeight="15"/>
  <sheetData>
    <row r="1" spans="1:5" ht="30" customHeight="1">
      <c r="A1" s="1" t="s">
        <v>52</v>
      </c>
      <c r="B1" s="1" t="s">
        <v>25</v>
      </c>
      <c r="C1" s="1" t="s">
        <v>53</v>
      </c>
      <c r="D1" s="1" t="s">
        <v>54</v>
      </c>
      <c r="E1" s="1" t="s">
        <v>55</v>
      </c>
    </row>
    <row r="2" spans="1:5" ht="15" customHeight="1">
      <c r="A2" s="3" t="s">
        <v>56</v>
      </c>
      <c r="B2" s="3" t="s">
        <v>27</v>
      </c>
      <c r="C2" s="3" t="s">
        <v>57</v>
      </c>
      <c r="D2" s="3" t="s">
        <v>62</v>
      </c>
      <c r="E2" s="3">
        <v>65</v>
      </c>
    </row>
    <row r="3" spans="1:5" ht="15" customHeight="1">
      <c r="A3" s="3" t="s">
        <v>58</v>
      </c>
      <c r="B3" s="3" t="s">
        <v>27</v>
      </c>
      <c r="C3" s="3" t="s">
        <v>57</v>
      </c>
      <c r="D3" s="3" t="s">
        <v>122</v>
      </c>
      <c r="E3" s="3">
        <v>23</v>
      </c>
    </row>
    <row r="4" spans="1:5" ht="15" customHeight="1">
      <c r="A4" s="3" t="s">
        <v>60</v>
      </c>
      <c r="B4" s="3" t="s">
        <v>27</v>
      </c>
      <c r="C4" s="3" t="s">
        <v>57</v>
      </c>
      <c r="D4" s="3" t="s">
        <v>123</v>
      </c>
      <c r="E4" s="3">
        <v>750</v>
      </c>
    </row>
    <row r="5" spans="1:5" ht="15" customHeight="1">
      <c r="A5" s="3" t="s">
        <v>61</v>
      </c>
      <c r="B5" s="3" t="s">
        <v>27</v>
      </c>
      <c r="C5" s="3" t="s">
        <v>57</v>
      </c>
      <c r="D5" s="3" t="s">
        <v>59</v>
      </c>
      <c r="E5" s="3">
        <v>90</v>
      </c>
    </row>
    <row r="6" spans="1:5" ht="15" customHeight="1">
      <c r="A6" s="3" t="s">
        <v>63</v>
      </c>
      <c r="B6" s="3" t="s">
        <v>27</v>
      </c>
      <c r="C6" s="3" t="s">
        <v>57</v>
      </c>
      <c r="D6" s="3" t="s">
        <v>124</v>
      </c>
      <c r="E6" s="3">
        <v>100</v>
      </c>
    </row>
    <row r="7" spans="1:5" ht="15" customHeight="1">
      <c r="A7" s="3" t="s">
        <v>65</v>
      </c>
      <c r="B7" s="3" t="s">
        <v>27</v>
      </c>
      <c r="C7" s="3" t="s">
        <v>64</v>
      </c>
      <c r="D7" s="3" t="s">
        <v>128</v>
      </c>
      <c r="E7" s="3">
        <v>60</v>
      </c>
    </row>
    <row r="8" spans="1:5" ht="15" customHeight="1">
      <c r="A8" s="3" t="s">
        <v>66</v>
      </c>
      <c r="B8" s="3" t="s">
        <v>27</v>
      </c>
      <c r="C8" s="3" t="s">
        <v>64</v>
      </c>
      <c r="D8" s="3" t="s">
        <v>125</v>
      </c>
      <c r="E8" s="3">
        <v>1000</v>
      </c>
    </row>
    <row r="9" spans="1:5">
      <c r="A9" s="3" t="s">
        <v>67</v>
      </c>
      <c r="B9" s="3" t="s">
        <v>27</v>
      </c>
      <c r="C9" s="3" t="s">
        <v>64</v>
      </c>
      <c r="D9" s="3" t="s">
        <v>126</v>
      </c>
      <c r="E9" s="3">
        <v>450</v>
      </c>
    </row>
    <row r="10" spans="1:5">
      <c r="A10" s="3" t="s">
        <v>68</v>
      </c>
      <c r="B10" s="3" t="s">
        <v>27</v>
      </c>
      <c r="C10" s="3" t="s">
        <v>64</v>
      </c>
      <c r="D10" s="3" t="s">
        <v>127</v>
      </c>
      <c r="E10" s="3">
        <v>400</v>
      </c>
    </row>
    <row r="11" spans="1:5">
      <c r="A11" s="3" t="s">
        <v>69</v>
      </c>
      <c r="B11" s="3" t="s">
        <v>28</v>
      </c>
      <c r="C11" s="3" t="s">
        <v>57</v>
      </c>
      <c r="D11" s="3" t="s">
        <v>130</v>
      </c>
      <c r="E11" s="3">
        <v>30</v>
      </c>
    </row>
    <row r="12" spans="1:5">
      <c r="A12" s="3" t="s">
        <v>70</v>
      </c>
      <c r="B12" s="3" t="s">
        <v>28</v>
      </c>
      <c r="C12" s="3" t="s">
        <v>57</v>
      </c>
      <c r="D12" s="3" t="s">
        <v>131</v>
      </c>
      <c r="E12" s="3">
        <v>100</v>
      </c>
    </row>
    <row r="13" spans="1:5">
      <c r="A13" s="3" t="s">
        <v>71</v>
      </c>
      <c r="B13" s="3" t="s">
        <v>28</v>
      </c>
      <c r="C13" s="3" t="s">
        <v>57</v>
      </c>
      <c r="D13" s="3" t="s">
        <v>59</v>
      </c>
      <c r="E13" s="3">
        <v>420</v>
      </c>
    </row>
    <row r="14" spans="1:5">
      <c r="A14" s="3" t="s">
        <v>72</v>
      </c>
      <c r="B14" s="3" t="s">
        <v>28</v>
      </c>
      <c r="C14" s="3" t="s">
        <v>64</v>
      </c>
      <c r="D14" s="3" t="s">
        <v>125</v>
      </c>
      <c r="E14" s="3">
        <v>700</v>
      </c>
    </row>
    <row r="15" spans="1:5">
      <c r="A15" s="3" t="s">
        <v>73</v>
      </c>
      <c r="B15" s="3" t="s">
        <v>28</v>
      </c>
      <c r="C15" s="3" t="s">
        <v>64</v>
      </c>
      <c r="D15" s="3" t="s">
        <v>127</v>
      </c>
      <c r="E15" s="3">
        <v>550</v>
      </c>
    </row>
    <row r="16" spans="1:5">
      <c r="A16" s="3" t="s">
        <v>74</v>
      </c>
      <c r="B16" s="3" t="s">
        <v>28</v>
      </c>
      <c r="C16" s="3" t="s">
        <v>64</v>
      </c>
      <c r="D16" s="3" t="s">
        <v>132</v>
      </c>
      <c r="E16" s="3">
        <v>650</v>
      </c>
    </row>
    <row r="17" spans="1:5">
      <c r="A17" s="3" t="s">
        <v>75</v>
      </c>
      <c r="B17" s="3" t="s">
        <v>28</v>
      </c>
      <c r="C17" s="3" t="s">
        <v>64</v>
      </c>
      <c r="D17" s="3" t="s">
        <v>133</v>
      </c>
      <c r="E17" s="3">
        <v>90</v>
      </c>
    </row>
    <row r="18" spans="1:5">
      <c r="A18" s="3" t="s">
        <v>76</v>
      </c>
      <c r="B18" s="3" t="s">
        <v>28</v>
      </c>
      <c r="C18" s="3" t="s">
        <v>64</v>
      </c>
      <c r="D18" s="3" t="s">
        <v>134</v>
      </c>
      <c r="E18" s="3">
        <v>70</v>
      </c>
    </row>
    <row r="19" spans="1:5">
      <c r="A19" s="3" t="s">
        <v>77</v>
      </c>
      <c r="B19" s="3" t="s">
        <v>28</v>
      </c>
      <c r="C19" s="3" t="s">
        <v>64</v>
      </c>
      <c r="D19" s="3" t="s">
        <v>135</v>
      </c>
      <c r="E19" s="3">
        <v>80</v>
      </c>
    </row>
    <row r="20" spans="1:5">
      <c r="A20" s="3" t="s">
        <v>129</v>
      </c>
      <c r="B20" s="3" t="s">
        <v>28</v>
      </c>
      <c r="C20" s="3" t="s">
        <v>64</v>
      </c>
      <c r="D20" s="3" t="s">
        <v>136</v>
      </c>
      <c r="E20" s="3">
        <v>60</v>
      </c>
    </row>
    <row r="21" spans="1:5">
      <c r="A21" s="3" t="s">
        <v>137</v>
      </c>
      <c r="B21" s="3" t="s">
        <v>29</v>
      </c>
      <c r="C21" s="3" t="s">
        <v>64</v>
      </c>
      <c r="D21" s="3" t="s">
        <v>124</v>
      </c>
      <c r="E21" s="3">
        <v>44</v>
      </c>
    </row>
    <row r="22" spans="1:5">
      <c r="A22" s="3" t="s">
        <v>138</v>
      </c>
    </row>
    <row r="23" spans="1:5">
      <c r="A23" s="3" t="s">
        <v>139</v>
      </c>
    </row>
  </sheetData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3"/>
  <sheetViews>
    <sheetView zoomScaleNormal="100" workbookViewId="0">
      <selection activeCell="H13" sqref="H13"/>
    </sheetView>
  </sheetViews>
  <sheetFormatPr defaultColWidth="8.7109375" defaultRowHeight="15"/>
  <cols>
    <col min="5" max="5" width="11" customWidth="1"/>
    <col min="6" max="6" width="25.5703125" customWidth="1"/>
  </cols>
  <sheetData>
    <row r="1" spans="1:14" ht="30" customHeight="1">
      <c r="A1" s="1" t="s">
        <v>78</v>
      </c>
      <c r="B1" s="1" t="s">
        <v>25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175</v>
      </c>
    </row>
    <row r="2" spans="1:14" ht="30" customHeight="1">
      <c r="A2" s="3" t="s">
        <v>83</v>
      </c>
      <c r="B2" s="3" t="s">
        <v>27</v>
      </c>
      <c r="C2" s="3" t="s">
        <v>151</v>
      </c>
      <c r="D2" s="3" t="s">
        <v>84</v>
      </c>
      <c r="E2" s="3">
        <v>9568519505</v>
      </c>
      <c r="F2" s="3" t="s">
        <v>88</v>
      </c>
      <c r="G2" s="3" t="s">
        <v>125</v>
      </c>
    </row>
    <row r="3" spans="1:14" ht="30" customHeight="1">
      <c r="A3" s="3" t="s">
        <v>86</v>
      </c>
      <c r="B3" s="3" t="s">
        <v>27</v>
      </c>
      <c r="C3" s="3" t="s">
        <v>152</v>
      </c>
      <c r="D3" s="3" t="s">
        <v>95</v>
      </c>
      <c r="E3" s="3">
        <v>8057279190</v>
      </c>
      <c r="F3" s="3" t="s">
        <v>85</v>
      </c>
      <c r="G3" s="3" t="s">
        <v>123</v>
      </c>
    </row>
    <row r="4" spans="1:14" ht="30" customHeight="1">
      <c r="A4" s="3" t="s">
        <v>89</v>
      </c>
      <c r="B4" s="3" t="s">
        <v>27</v>
      </c>
      <c r="C4" s="3" t="s">
        <v>153</v>
      </c>
      <c r="D4" s="3" t="s">
        <v>90</v>
      </c>
      <c r="E4" s="3">
        <v>7819813309</v>
      </c>
      <c r="F4" s="3" t="s">
        <v>88</v>
      </c>
      <c r="G4" s="3" t="s">
        <v>125</v>
      </c>
    </row>
    <row r="5" spans="1:14" ht="30" customHeight="1">
      <c r="A5" s="3" t="s">
        <v>91</v>
      </c>
      <c r="B5" s="3" t="s">
        <v>27</v>
      </c>
      <c r="C5" s="3" t="s">
        <v>154</v>
      </c>
      <c r="D5" s="3" t="s">
        <v>95</v>
      </c>
      <c r="E5" s="3">
        <v>9837015646</v>
      </c>
      <c r="F5" s="3" t="s">
        <v>88</v>
      </c>
      <c r="G5" s="3" t="s">
        <v>125</v>
      </c>
    </row>
    <row r="6" spans="1:14" ht="30" customHeight="1">
      <c r="A6" s="3" t="s">
        <v>92</v>
      </c>
      <c r="B6" s="3" t="s">
        <v>27</v>
      </c>
      <c r="C6" s="3" t="s">
        <v>155</v>
      </c>
      <c r="D6" s="3" t="s">
        <v>87</v>
      </c>
      <c r="E6" s="3">
        <v>9837386659</v>
      </c>
      <c r="F6" s="3" t="s">
        <v>88</v>
      </c>
      <c r="G6" s="3" t="s">
        <v>126</v>
      </c>
      <c r="I6" t="str">
        <f t="shared" ref="I6:N9" si="0">IFERROR(INDEX(A$2:A$7, SMALL(IF($B$2:$B$7=$G$2, ROW($B$2:$B$7)-ROW($B$2)+1), ROW(2:2))), "")</f>
        <v/>
      </c>
      <c r="J6" t="str">
        <f t="shared" si="0"/>
        <v/>
      </c>
      <c r="K6" t="str">
        <f t="shared" si="0"/>
        <v/>
      </c>
      <c r="L6" t="str">
        <f t="shared" si="0"/>
        <v/>
      </c>
      <c r="M6" t="str">
        <f t="shared" si="0"/>
        <v/>
      </c>
      <c r="N6" t="str">
        <f t="shared" si="0"/>
        <v/>
      </c>
    </row>
    <row r="7" spans="1:14" ht="30" customHeight="1">
      <c r="A7" s="3" t="s">
        <v>93</v>
      </c>
      <c r="B7" s="3" t="s">
        <v>27</v>
      </c>
      <c r="C7" s="3" t="s">
        <v>156</v>
      </c>
      <c r="D7" s="3" t="s">
        <v>173</v>
      </c>
      <c r="E7" s="3">
        <v>9917621151</v>
      </c>
      <c r="F7" s="3" t="s">
        <v>88</v>
      </c>
      <c r="G7" s="3" t="s">
        <v>126</v>
      </c>
      <c r="I7" t="str">
        <f t="shared" si="0"/>
        <v/>
      </c>
      <c r="J7" t="str">
        <f t="shared" si="0"/>
        <v/>
      </c>
      <c r="K7" t="str">
        <f t="shared" si="0"/>
        <v/>
      </c>
      <c r="L7" t="str">
        <f t="shared" si="0"/>
        <v/>
      </c>
      <c r="M7" t="str">
        <f t="shared" si="0"/>
        <v/>
      </c>
      <c r="N7" t="str">
        <f t="shared" si="0"/>
        <v/>
      </c>
    </row>
    <row r="8" spans="1:14" ht="45" customHeight="1">
      <c r="A8" s="3" t="s">
        <v>94</v>
      </c>
      <c r="B8" s="3" t="s">
        <v>27</v>
      </c>
      <c r="C8" s="3" t="s">
        <v>157</v>
      </c>
      <c r="D8" s="3" t="s">
        <v>90</v>
      </c>
      <c r="E8">
        <v>7248649786</v>
      </c>
      <c r="F8" s="3" t="s">
        <v>88</v>
      </c>
      <c r="G8" s="3" t="s">
        <v>125</v>
      </c>
      <c r="I8" t="str">
        <f t="shared" si="0"/>
        <v/>
      </c>
      <c r="J8" t="str">
        <f t="shared" si="0"/>
        <v/>
      </c>
      <c r="K8" t="str">
        <f t="shared" si="0"/>
        <v/>
      </c>
      <c r="L8" t="str">
        <f t="shared" si="0"/>
        <v/>
      </c>
      <c r="M8" t="str">
        <f t="shared" si="0"/>
        <v/>
      </c>
      <c r="N8" t="str">
        <f t="shared" si="0"/>
        <v/>
      </c>
    </row>
    <row r="9" spans="1:14" ht="30" customHeight="1">
      <c r="A9" s="3" t="s">
        <v>96</v>
      </c>
      <c r="B9" s="3" t="s">
        <v>27</v>
      </c>
      <c r="C9" s="3" t="s">
        <v>158</v>
      </c>
      <c r="D9" s="3" t="s">
        <v>97</v>
      </c>
      <c r="E9">
        <v>6398301238</v>
      </c>
      <c r="F9" s="3" t="s">
        <v>85</v>
      </c>
      <c r="G9" s="3" t="s">
        <v>123</v>
      </c>
      <c r="I9" t="str">
        <f t="shared" si="0"/>
        <v/>
      </c>
      <c r="J9" t="str">
        <f t="shared" si="0"/>
        <v/>
      </c>
      <c r="K9" t="str">
        <f t="shared" si="0"/>
        <v/>
      </c>
      <c r="L9" t="str">
        <f t="shared" si="0"/>
        <v/>
      </c>
      <c r="M9" t="str">
        <f t="shared" si="0"/>
        <v/>
      </c>
      <c r="N9" t="str">
        <f t="shared" si="0"/>
        <v/>
      </c>
    </row>
    <row r="10" spans="1:14" ht="15" customHeight="1">
      <c r="A10" s="3" t="s">
        <v>98</v>
      </c>
      <c r="B10" s="3" t="s">
        <v>27</v>
      </c>
      <c r="C10" s="3" t="s">
        <v>159</v>
      </c>
      <c r="D10" s="3" t="s">
        <v>97</v>
      </c>
      <c r="E10">
        <v>7500169804</v>
      </c>
      <c r="F10" s="3" t="s">
        <v>85</v>
      </c>
      <c r="G10" s="3" t="s">
        <v>124</v>
      </c>
    </row>
    <row r="11" spans="1:14" ht="30" customHeight="1">
      <c r="A11" s="3" t="s">
        <v>100</v>
      </c>
      <c r="B11" s="3" t="s">
        <v>27</v>
      </c>
      <c r="C11" s="3" t="s">
        <v>160</v>
      </c>
      <c r="D11" s="3" t="s">
        <v>97</v>
      </c>
      <c r="E11">
        <v>9756613457</v>
      </c>
      <c r="F11" s="3" t="s">
        <v>85</v>
      </c>
      <c r="G11" s="3" t="s">
        <v>123</v>
      </c>
    </row>
    <row r="12" spans="1:14" ht="30">
      <c r="A12" s="3" t="s">
        <v>116</v>
      </c>
      <c r="B12" s="3" t="s">
        <v>27</v>
      </c>
      <c r="C12" s="3" t="s">
        <v>161</v>
      </c>
      <c r="D12" s="3" t="s">
        <v>97</v>
      </c>
      <c r="E12">
        <v>8433147226</v>
      </c>
      <c r="F12" s="3" t="s">
        <v>88</v>
      </c>
      <c r="G12" s="3" t="s">
        <v>126</v>
      </c>
    </row>
    <row r="13" spans="1:14" ht="45">
      <c r="A13" s="3" t="s">
        <v>140</v>
      </c>
      <c r="B13" s="3" t="s">
        <v>27</v>
      </c>
      <c r="C13" s="3" t="s">
        <v>162</v>
      </c>
      <c r="D13" s="3" t="s">
        <v>174</v>
      </c>
      <c r="E13">
        <v>8077458224</v>
      </c>
      <c r="F13" s="3" t="s">
        <v>88</v>
      </c>
      <c r="G13" s="3" t="s">
        <v>125</v>
      </c>
    </row>
    <row r="14" spans="1:14" ht="30">
      <c r="A14" s="3" t="s">
        <v>141</v>
      </c>
      <c r="B14" s="3" t="s">
        <v>27</v>
      </c>
      <c r="C14" s="3" t="s">
        <v>163</v>
      </c>
    </row>
    <row r="15" spans="1:14" ht="30">
      <c r="A15" s="3" t="s">
        <v>142</v>
      </c>
      <c r="B15" s="3" t="s">
        <v>28</v>
      </c>
      <c r="C15" s="3" t="s">
        <v>164</v>
      </c>
    </row>
    <row r="16" spans="1:14">
      <c r="A16" s="3" t="s">
        <v>143</v>
      </c>
      <c r="B16" s="3" t="s">
        <v>28</v>
      </c>
      <c r="C16" s="3" t="s">
        <v>165</v>
      </c>
    </row>
    <row r="17" spans="1:3">
      <c r="A17" s="3" t="s">
        <v>144</v>
      </c>
      <c r="B17" s="3" t="s">
        <v>28</v>
      </c>
      <c r="C17" s="3" t="s">
        <v>166</v>
      </c>
    </row>
    <row r="18" spans="1:3" ht="30">
      <c r="A18" s="3" t="s">
        <v>145</v>
      </c>
      <c r="B18" s="3" t="s">
        <v>28</v>
      </c>
      <c r="C18" s="3" t="s">
        <v>167</v>
      </c>
    </row>
    <row r="19" spans="1:3" ht="30">
      <c r="A19" s="3" t="s">
        <v>146</v>
      </c>
      <c r="B19" s="3" t="s">
        <v>28</v>
      </c>
      <c r="C19" s="3" t="s">
        <v>168</v>
      </c>
    </row>
    <row r="20" spans="1:3" ht="30">
      <c r="A20" s="3" t="s">
        <v>147</v>
      </c>
      <c r="B20" s="3" t="s">
        <v>28</v>
      </c>
      <c r="C20" s="3" t="s">
        <v>169</v>
      </c>
    </row>
    <row r="21" spans="1:3" ht="30">
      <c r="A21" s="3" t="s">
        <v>148</v>
      </c>
      <c r="B21" s="3" t="s">
        <v>28</v>
      </c>
      <c r="C21" s="3" t="s">
        <v>170</v>
      </c>
    </row>
    <row r="22" spans="1:3" ht="30">
      <c r="A22" s="3" t="s">
        <v>149</v>
      </c>
      <c r="B22" s="3" t="s">
        <v>28</v>
      </c>
      <c r="C22" s="3" t="s">
        <v>171</v>
      </c>
    </row>
    <row r="23" spans="1:3">
      <c r="A23" s="3" t="s">
        <v>150</v>
      </c>
      <c r="B23" s="3" t="s">
        <v>28</v>
      </c>
      <c r="C23" s="3" t="s">
        <v>172</v>
      </c>
    </row>
  </sheetData>
  <phoneticPr fontId="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4"/>
  <sheetViews>
    <sheetView tabSelected="1" zoomScale="94" zoomScaleNormal="94" workbookViewId="0">
      <selection activeCell="F12" sqref="F12"/>
    </sheetView>
  </sheetViews>
  <sheetFormatPr defaultColWidth="8.7109375" defaultRowHeight="15"/>
  <cols>
    <col min="1" max="1" width="16.28515625" customWidth="1"/>
    <col min="2" max="3" width="26.5703125" customWidth="1"/>
    <col min="4" max="4" width="11.85546875" customWidth="1"/>
    <col min="5" max="5" width="17.85546875" customWidth="1"/>
    <col min="7" max="7" width="15" customWidth="1"/>
    <col min="8" max="8" width="15.7109375" customWidth="1"/>
    <col min="9" max="9" width="11.7109375" customWidth="1"/>
    <col min="10" max="10" width="10.5703125" customWidth="1"/>
  </cols>
  <sheetData>
    <row r="1" spans="1:13" ht="24.75" customHeight="1">
      <c r="A1" s="3" t="s">
        <v>101</v>
      </c>
      <c r="B1" s="3" t="str">
        <f>B23</f>
        <v>V001</v>
      </c>
      <c r="C1" s="3" t="s">
        <v>24</v>
      </c>
      <c r="D1" s="3"/>
      <c r="E1" s="3"/>
      <c r="F1" s="3"/>
      <c r="G1" s="5" t="s">
        <v>102</v>
      </c>
      <c r="H1" s="6" t="str">
        <f>IFERROR(INDEX(Gram_Panchayat_Master!$B:$B,MATCH($B$24,Gram_Panchayat_Master!$A:$A,0)),"")</f>
        <v>Kalari</v>
      </c>
      <c r="I1" s="7" t="s">
        <v>103</v>
      </c>
      <c r="J1" s="8"/>
      <c r="K1" s="8" t="s">
        <v>104</v>
      </c>
      <c r="L1" s="8"/>
      <c r="M1" s="9" t="s">
        <v>105</v>
      </c>
    </row>
    <row r="2" spans="1:13" ht="21.75" customHeight="1">
      <c r="A2" s="10" t="s">
        <v>78</v>
      </c>
      <c r="B2" s="10" t="s">
        <v>79</v>
      </c>
      <c r="C2" s="10" t="s">
        <v>80</v>
      </c>
      <c r="D2" s="10" t="s">
        <v>81</v>
      </c>
      <c r="E2" s="10" t="s">
        <v>106</v>
      </c>
      <c r="F2" s="3"/>
      <c r="G2" s="11" t="s">
        <v>2</v>
      </c>
      <c r="H2" s="6" t="str">
        <f>IFERROR(INDEX(Gram_Panchayat_Master!$C:$C,MATCH($B$24,Gram_Panchayat_Master!$A:$A,0)),"")</f>
        <v>Bithri Chainpur</v>
      </c>
      <c r="I2" s="12" t="str">
        <f>IFERROR(INDEX(Village_Master!$C:$C,_xlfn.AGGREGATE(15,6,ROW(Village_Master!$B$2:$B$192)/(Village_Master!$B$2:$B$192=$B$24),ROWS($I$2:I2))),"")</f>
        <v>Kalari</v>
      </c>
      <c r="J2" s="13" t="s">
        <v>107</v>
      </c>
      <c r="K2" s="10">
        <f>SUMPRODUCT((Caste_Data!$B$2:$B$189=$B$23)*(Caste_Data!$C$2:$C$189="Hindu")*(Caste_Data!$E$2:$E$189))</f>
        <v>1028</v>
      </c>
      <c r="L2" s="10" t="s">
        <v>108</v>
      </c>
      <c r="M2" s="5">
        <f>SUMPRODUCT((Caste_Data!$B$2:$B$189=$B$23)*(Caste_Data!$C$2:$C$189="Muslim")*(Caste_Data!$E$2:$E$189))</f>
        <v>1910</v>
      </c>
    </row>
    <row r="3" spans="1:13" ht="15" customHeight="1">
      <c r="A3" s="5" t="str">
        <f>IFERROR(INDEX(Influential_Persons!$A:$A,_xlfn.AGGREGATE(15,6,ROW(Influential_Persons!$B$2:$B$199)/(Influential_Persons!$B$2:$B$199=$B$23),ROWS($A$3:A3))),"")</f>
        <v>P001</v>
      </c>
      <c r="B3" s="5" t="str">
        <f>IF($A3="","",INDEX(Influential_Persons!$C:$C,MATCH($A3,Influential_Persons!$A:$A,0)))</f>
        <v>Nasreen</v>
      </c>
      <c r="C3" s="5" t="str">
        <f>IF($A3="","",INDEX(Influential_Persons!$D:$D,MATCH($A3,Influential_Persons!$A:$A,0)))</f>
        <v>Gram Pradhan</v>
      </c>
      <c r="D3" s="5">
        <f>IF($A3="","",INDEX(Influential_Persons!$E:$E,MATCH($A3,Influential_Persons!$A:$A,0)))</f>
        <v>9568519505</v>
      </c>
      <c r="E3" s="5" t="str">
        <f>IF($A3="","",INDEX(Influential_Persons!$F:$F,MATCH($A3,Influential_Persons!$A:$A,0)))</f>
        <v>SP</v>
      </c>
      <c r="G3" s="5" t="s">
        <v>3</v>
      </c>
      <c r="H3" s="6" t="str">
        <f>IFERROR(INDEX(Gram_Panchayat_Master!$D:$D,MATCH($B$24,Gram_Panchayat_Master!$A:$A,0)),"")</f>
        <v>Bareilly</v>
      </c>
      <c r="I3" s="12" t="str">
        <f>IFERROR(INDEX(Village_Master!$C:$C,_xlfn.AGGREGATE(15,6,ROW(Village_Master!$B$2:$B$192)/(Village_Master!$B$2:$B$192=$B$24),ROWS($I$2:I3))),"")</f>
        <v/>
      </c>
      <c r="J3" s="14" t="str">
        <f>IFERROR(INDEX(Caste_Data!$D:$D,_xlfn.AGGREGATE(15,6,ROW(Caste_Data!$B$2:$B$189)/((Caste_Data!$B$2:$B$189=$B$23)*(Caste_Data!$C$2:$C$189="Hindu")),ROWS($J$3:J3))),"")</f>
        <v>Kurmi</v>
      </c>
      <c r="K3" s="5"/>
      <c r="L3" s="5" t="str">
        <f>IFERROR(INDEX(Caste_Data!$D:$D,_xlfn.AGGREGATE(15,6,ROW(Caste_Data!$B$2:$B$189)/((Caste_Data!$B$2:$B$189=$B$23)*(Caste_Data!$C$2:$C$189="Muslim")),ROWS($L$3:L3))),"")</f>
        <v>Others</v>
      </c>
      <c r="M3" s="5"/>
    </row>
    <row r="4" spans="1:13" ht="15" customHeight="1">
      <c r="A4" s="5" t="str">
        <f>IFERROR(INDEX(Influential_Persons!$A:$A,_xlfn.AGGREGATE(15,6,ROW(Influential_Persons!$B$2:$B$199)/(Influential_Persons!$B$2:$B$199=$B$23),ROWS($A$3:A4))),"")</f>
        <v>P002</v>
      </c>
      <c r="B4" s="5" t="str">
        <f>IF($A4="","",INDEX(Influential_Persons!$C:$C,MATCH($A4,Influential_Persons!$A:$A,0)))</f>
        <v>Khem Raj</v>
      </c>
      <c r="C4" s="5" t="str">
        <f>IF($A4="","",INDEX(Influential_Persons!$D:$D,MATCH($A4,Influential_Persons!$A:$A,0)))</f>
        <v>Pradhan Candidate</v>
      </c>
      <c r="D4" s="5">
        <f>IF($A4="","",INDEX(Influential_Persons!$E:$E,MATCH($A4,Influential_Persons!$A:$A,0)))</f>
        <v>8057279190</v>
      </c>
      <c r="E4" s="5" t="str">
        <f>IF($A4="","",INDEX(Influential_Persons!$F:$F,MATCH($A4,Influential_Persons!$A:$A,0)))</f>
        <v>BJP</v>
      </c>
      <c r="G4" s="5" t="s">
        <v>109</v>
      </c>
      <c r="H4" s="6" t="str">
        <f>IFERROR(INDEX(Gram_Panchayat_Master!$F:$F,MATCH($B$24,Gram_Panchayat_Master!$A:$A,0)),"")</f>
        <v>Bhojipura</v>
      </c>
      <c r="I4" s="12" t="str">
        <f>IFERROR(INDEX(Village_Master!$C:$C,_xlfn.AGGREGATE(15,6,ROW(Village_Master!$B$2:$B$192)/(Village_Master!$B$2:$B$192=$B$24),ROWS($I$2:I4))),"")</f>
        <v/>
      </c>
      <c r="J4" s="14" t="str">
        <f>IFERROR(INDEX(Caste_Data!$D:$D,_xlfn.AGGREGATE(15,6,ROW(Caste_Data!$B$2:$B$189)/((Caste_Data!$B$2:$B$189=$B$23)*(Caste_Data!$C$2:$C$189="Hindu")),ROWS($J$3:J4))),"")</f>
        <v>Kashyap</v>
      </c>
      <c r="K4" s="5"/>
      <c r="L4" s="5" t="str">
        <f>IFERROR(INDEX(Caste_Data!$D:$D,_xlfn.AGGREGATE(15,6,ROW(Caste_Data!$B$2:$B$189)/((Caste_Data!$B$2:$B$189=$B$23)*(Caste_Data!$C$2:$C$189="Muslim")),ROWS($L$3:L4))),"")</f>
        <v>Anshari</v>
      </c>
      <c r="M4" s="5"/>
    </row>
    <row r="5" spans="1:13" ht="15" customHeight="1">
      <c r="A5" s="5" t="str">
        <f>IFERROR(INDEX(Influential_Persons!$A:$A,_xlfn.AGGREGATE(15,6,ROW(Influential_Persons!$B$2:$B$199)/(Influential_Persons!$B$2:$B$199=$B$23),ROWS($A$3:A5))),"")</f>
        <v>P003</v>
      </c>
      <c r="B5" s="5" t="str">
        <f>IF($A5="","",INDEX(Influential_Persons!$C:$C,MATCH($A5,Influential_Persons!$A:$A,0)))</f>
        <v>Faizan</v>
      </c>
      <c r="C5" s="5" t="str">
        <f>IF($A5="","",INDEX(Influential_Persons!$D:$D,MATCH($A5,Influential_Persons!$A:$A,0)))</f>
        <v>BDC Member</v>
      </c>
      <c r="D5" s="5">
        <f>IF($A5="","",INDEX(Influential_Persons!$E:$E,MATCH($A5,Influential_Persons!$A:$A,0)))</f>
        <v>7819813309</v>
      </c>
      <c r="E5" s="5" t="str">
        <f>IF($A5="","",INDEX(Influential_Persons!$F:$F,MATCH($A5,Influential_Persons!$A:$A,0)))</f>
        <v>SP</v>
      </c>
      <c r="I5" s="12" t="str">
        <f>IFERROR(INDEX(Village_Master!$C:$C,_xlfn.AGGREGATE(15,6,ROW(Village_Master!$B$2:$B$192)/(Village_Master!$B$2:$B$192=$B$24),ROWS($I$2:I5))),"")</f>
        <v/>
      </c>
      <c r="J5" s="14" t="str">
        <f>IFERROR(INDEX(Caste_Data!$D:$D,_xlfn.AGGREGATE(15,6,ROW(Caste_Data!$B$2:$B$189)/((Caste_Data!$B$2:$B$189=$B$23)*(Caste_Data!$C$2:$C$189="Hindu")),ROWS($J$3:J5))),"")</f>
        <v>Mourya</v>
      </c>
      <c r="K5" s="5"/>
      <c r="L5" s="5" t="str">
        <f>IFERROR(INDEX(Caste_Data!$D:$D,_xlfn.AGGREGATE(15,6,ROW(Caste_Data!$B$2:$B$189)/((Caste_Data!$B$2:$B$189=$B$23)*(Caste_Data!$C$2:$C$189="Muslim")),ROWS($L$3:L5))),"")</f>
        <v>Pathan</v>
      </c>
      <c r="M5" s="5"/>
    </row>
    <row r="6" spans="1:13" ht="15" customHeight="1">
      <c r="A6" s="5" t="str">
        <f>IFERROR(INDEX(Influential_Persons!$A:$A,_xlfn.AGGREGATE(15,6,ROW(Influential_Persons!$B$2:$B$199)/(Influential_Persons!$B$2:$B$199=$B$23),ROWS($A$3:A6))),"")</f>
        <v>P004</v>
      </c>
      <c r="B6" s="5" t="str">
        <f>IF($A6="","",INDEX(Influential_Persons!$C:$C,MATCH($A6,Influential_Persons!$A:$A,0)))</f>
        <v>Reyaj Ahmad</v>
      </c>
      <c r="C6" s="5" t="str">
        <f>IF($A6="","",INDEX(Influential_Persons!$D:$D,MATCH($A6,Influential_Persons!$A:$A,0)))</f>
        <v>Pradhan Candidate</v>
      </c>
      <c r="D6" s="5">
        <f>IF($A6="","",INDEX(Influential_Persons!$E:$E,MATCH($A6,Influential_Persons!$A:$A,0)))</f>
        <v>9837015646</v>
      </c>
      <c r="E6" s="5" t="str">
        <f>IF($A6="","",INDEX(Influential_Persons!$F:$F,MATCH($A6,Influential_Persons!$A:$A,0)))</f>
        <v>SP</v>
      </c>
      <c r="I6" s="15" t="str">
        <f>IFERROR(INDEX(Village_Master!$C:$C,_xlfn.AGGREGATE(15,6,ROW(Village_Master!$B$2:$B$192)/(Village_Master!$B$2:$B$192=$B$24),ROWS($I$2:I6))),"")</f>
        <v/>
      </c>
      <c r="J6" s="5" t="str">
        <f>IFERROR(INDEX(Caste_Data!$D:$D,_xlfn.AGGREGATE(15,6,ROW(Caste_Data!$B$2:$B$189)/((Caste_Data!$B$2:$B$189=$B$23)*(Caste_Data!$C$2:$C$189="Hindu")),ROWS($J$3:J6))),"")</f>
        <v>Jatav</v>
      </c>
      <c r="K6" s="5"/>
      <c r="L6" s="5" t="str">
        <f>IFERROR(INDEX(Caste_Data!$D:$D,_xlfn.AGGREGATE(15,6,ROW(Caste_Data!$B$2:$B$189)/((Caste_Data!$B$2:$B$189=$B$23)*(Caste_Data!$C$2:$C$189="Muslim")),ROWS($L$3:L6))),"")</f>
        <v>Alvi</v>
      </c>
      <c r="M6" s="5"/>
    </row>
    <row r="7" spans="1:13" ht="15" customHeight="1">
      <c r="A7" s="5" t="str">
        <f>IFERROR(INDEX(Influential_Persons!$A:$A,_xlfn.AGGREGATE(15,6,ROW(Influential_Persons!$B$2:$B$199)/(Influential_Persons!$B$2:$B$199=$B$23),ROWS($A$3:A7))),"")</f>
        <v>P005</v>
      </c>
      <c r="B7" s="5" t="str">
        <f>IF($A7="","",INDEX(Influential_Persons!$C:$C,MATCH($A7,Influential_Persons!$A:$A,0)))</f>
        <v>Raheem Kha</v>
      </c>
      <c r="C7" s="5" t="str">
        <f>IF($A7="","",INDEX(Influential_Persons!$D:$D,MATCH($A7,Influential_Persons!$A:$A,0)))</f>
        <v>Former Pradhan</v>
      </c>
      <c r="D7" s="5">
        <f>IF($A7="","",INDEX(Influential_Persons!$E:$E,MATCH($A7,Influential_Persons!$A:$A,0)))</f>
        <v>9837386659</v>
      </c>
      <c r="E7" s="5" t="str">
        <f>IF($A7="","",INDEX(Influential_Persons!$F:$F,MATCH($A7,Influential_Persons!$A:$A,0)))</f>
        <v>SP</v>
      </c>
      <c r="G7" t="str">
        <f>IFERROR(INDEX(Caste_Data!$D:$D,MATCH(ROWS($G$3:G7),Caste_Data!#REF!,0)),"")</f>
        <v/>
      </c>
      <c r="I7" s="15" t="str">
        <f>IFERROR(INDEX(Village_Master!$C:$C,_xlfn.AGGREGATE(15,6,ROW(Village_Master!$B$2:$B$192)/(Village_Master!$B$2:$B$192=$B$24),ROWS($I$2:I7))),"")</f>
        <v/>
      </c>
      <c r="J7" s="5" t="str">
        <f>IFERROR(INDEX(Caste_Data!$D:$D,_xlfn.AGGREGATE(15,6,ROW(Caste_Data!$B$2:$B$189)/((Caste_Data!$B$2:$B$189=$B$23)*(Caste_Data!$C$2:$C$189="Hindu")),ROWS($J$3:J7))),"")</f>
        <v>Dhobi</v>
      </c>
      <c r="K7" s="5"/>
      <c r="L7" s="5" t="str">
        <f>IFERROR(INDEX(Caste_Data!$D:$D,_xlfn.AGGREGATE(15,6,ROW(Caste_Data!$B$2:$B$189)/((Caste_Data!$B$2:$B$189=$B$23)*(Caste_Data!$C$2:$C$189="Muslim")),ROWS($L$3:L7))),"")</f>
        <v/>
      </c>
      <c r="M7" s="5"/>
    </row>
    <row r="8" spans="1:13" ht="15" customHeight="1">
      <c r="A8" s="5" t="str">
        <f>IFERROR(INDEX(Influential_Persons!$A:$A,_xlfn.AGGREGATE(15,6,ROW(Influential_Persons!$B$2:$B$199)/(Influential_Persons!$B$2:$B$199=$B$23),ROWS($A$3:A8))),"")</f>
        <v>P006</v>
      </c>
      <c r="B8" s="5" t="str">
        <f>IF($A8="","",INDEX(Influential_Persons!$C:$C,MATCH($A8,Influential_Persons!$A:$A,0)))</f>
        <v>Ejakat Kha</v>
      </c>
      <c r="C8" s="5" t="str">
        <f>IF($A8="","",INDEX(Influential_Persons!$D:$D,MATCH($A8,Influential_Persons!$A:$A,0)))</f>
        <v>Kotedar</v>
      </c>
      <c r="D8" s="5">
        <f>IF($A8="","",INDEX(Influential_Persons!$E:$E,MATCH($A8,Influential_Persons!$A:$A,0)))</f>
        <v>9917621151</v>
      </c>
      <c r="E8" s="5" t="str">
        <f>IF($A8="","",INDEX(Influential_Persons!$F:$F,MATCH($A8,Influential_Persons!$A:$A,0)))</f>
        <v>SP</v>
      </c>
      <c r="I8" s="15" t="str">
        <f>IFERROR(INDEX(Village_Master!$C:$C,_xlfn.AGGREGATE(15,6,ROW(Village_Master!$B$2:$B$192)/(Village_Master!$B$2:$B$192=$B$24),ROWS($I$2:I8))),"")</f>
        <v/>
      </c>
      <c r="J8" s="5" t="str">
        <f>IFERROR(INDEX(Caste_Data!$D:$D,_xlfn.AGGREGATE(15,6,ROW(Caste_Data!$B$2:$B$189)/((Caste_Data!$B$2:$B$189=$B$23)*(Caste_Data!$C$2:$C$189="Hindu")),ROWS($J$3:J8))),"")</f>
        <v/>
      </c>
      <c r="K8" s="5"/>
      <c r="L8" s="5" t="str">
        <f>IFERROR(INDEX(Caste_Data!$D:$D,_xlfn.AGGREGATE(15,6,ROW(Caste_Data!$B$2:$B$189)/((Caste_Data!$B$2:$B$189=$B$23)*(Caste_Data!$C$2:$C$189="Muslim")),ROWS($L$3:L8))),"")</f>
        <v/>
      </c>
      <c r="M8" s="5"/>
    </row>
    <row r="9" spans="1:13" ht="15.75" customHeight="1">
      <c r="A9" s="5" t="str">
        <f>IFERROR(INDEX(Influential_Persons!$A:$A,_xlfn.AGGREGATE(15,6,ROW(Influential_Persons!$B$2:$B$199)/(Influential_Persons!$B$2:$B$199=$B$23),ROWS($A$3:A9))),"")</f>
        <v>P007</v>
      </c>
      <c r="B9" s="5" t="str">
        <f>IF($A9="","",INDEX(Influential_Persons!$C:$C,MATCH($A9,Influential_Persons!$A:$A,0)))</f>
        <v>Hmeed Rza Kha</v>
      </c>
      <c r="C9" s="5" t="str">
        <f>IF($A9="","",INDEX(Influential_Persons!$D:$D,MATCH($A9,Influential_Persons!$A:$A,0)))</f>
        <v>BDC Member</v>
      </c>
      <c r="D9" s="5">
        <f>IF($A9="","",INDEX(Influential_Persons!$E:$E,MATCH($A9,Influential_Persons!$A:$A,0)))</f>
        <v>7248649786</v>
      </c>
      <c r="E9" s="5" t="str">
        <f>IF($A9="","",INDEX(Influential_Persons!$F:$F,MATCH($A9,Influential_Persons!$A:$A,0)))</f>
        <v>SP</v>
      </c>
      <c r="I9" s="16" t="str">
        <f>IFERROR(INDEX(Village_Master!$C:$C,_xlfn.AGGREGATE(15,6,ROW(Village_Master!$B$2:$B$192)/(Village_Master!$B$2:$B$192=$B$24),ROWS($I$2:I9))),"")</f>
        <v/>
      </c>
      <c r="J9" s="5" t="str">
        <f>IFERROR(INDEX(Caste_Data!$D:$D,_xlfn.AGGREGATE(15,6,ROW(Caste_Data!$B$2:$B$189)/((Caste_Data!$B$2:$B$189=$B$23)*(Caste_Data!$C$2:$C$189="Hindu")),ROWS($J$3:J9))),"")</f>
        <v/>
      </c>
      <c r="K9" s="5"/>
      <c r="L9" s="5" t="str">
        <f>IFERROR(INDEX(Caste_Data!$D:$D,_xlfn.AGGREGATE(15,6,ROW(Caste_Data!$B$2:$B$189)/((Caste_Data!$B$2:$B$189=$B$23)*(Caste_Data!$C$2:$C$189="Muslim")),ROWS($L$3:L9))),"")</f>
        <v/>
      </c>
      <c r="M9" s="5"/>
    </row>
    <row r="10" spans="1:13" ht="15.75" customHeight="1">
      <c r="A10" s="5" t="str">
        <f>IFERROR(INDEX(Influential_Persons!$A:$A,_xlfn.AGGREGATE(15,6,ROW(Influential_Persons!$B$2:$B$199)/(Influential_Persons!$B$2:$B$199=$B$23),ROWS($A$3:A10))),"")</f>
        <v>P008</v>
      </c>
      <c r="B10" s="5" t="str">
        <f>IF($A10="","",INDEX(Influential_Persons!$C:$C,MATCH($A10,Influential_Persons!$A:$A,0)))</f>
        <v>Chheda Lal</v>
      </c>
      <c r="C10" s="5" t="str">
        <f>IF($A10="","",INDEX(Influential_Persons!$D:$D,MATCH($A10,Influential_Persons!$A:$A,0)))</f>
        <v>Influential</v>
      </c>
      <c r="D10" s="5">
        <f>IF($A10="","",INDEX(Influential_Persons!$E:$E,MATCH($A10,Influential_Persons!$A:$A,0)))</f>
        <v>6398301238</v>
      </c>
      <c r="E10" s="5" t="str">
        <f>IF($A10="","",INDEX(Influential_Persons!$F:$F,MATCH($A10,Influential_Persons!$A:$A,0)))</f>
        <v>BJP</v>
      </c>
      <c r="I10" t="str">
        <f>IFERROR(INDEX(Village_Master!$C:$C,_xlfn.AGGREGATE(15,6,ROW(Village_Master!$B$2:$B$192)/(Village_Master!$B$2:$B$192=$B$24),ROWS($I$2:I10))),"")</f>
        <v/>
      </c>
      <c r="J10" s="5" t="str">
        <f>IFERROR(INDEX(Caste_Data!$D:$D,_xlfn.AGGREGATE(15,6,ROW(Caste_Data!$B$2:$B$189)/((Caste_Data!$B$2:$B$189=$B$23)*(Caste_Data!$C$2:$C$189="Hindu")),ROWS($J$3:J10))),"")</f>
        <v/>
      </c>
      <c r="K10" s="5"/>
      <c r="L10" s="5" t="str">
        <f>IFERROR(INDEX(Caste_Data!$D:$D,_xlfn.AGGREGATE(15,6,ROW(Caste_Data!$B$2:$B$189)/((Caste_Data!$B$2:$B$189=$B$23)*(Caste_Data!$C$2:$C$189="Muslim")),ROWS($L$3:L10))),"")</f>
        <v/>
      </c>
      <c r="M10" s="5"/>
    </row>
    <row r="11" spans="1:13" ht="15" customHeight="1">
      <c r="A11" s="5" t="str">
        <f>IFERROR(INDEX(Influential_Persons!$A:$A,_xlfn.AGGREGATE(15,6,ROW(Influential_Persons!$B$2:$B$199)/(Influential_Persons!$B$2:$B$199=$B$23),ROWS($A$3:A11))),"")</f>
        <v>P009</v>
      </c>
      <c r="B11" s="5" t="str">
        <f>IF($A11="","",INDEX(Influential_Persons!$C:$C,MATCH($A11,Influential_Persons!$A:$A,0)))</f>
        <v>Jamuna Prashad</v>
      </c>
      <c r="C11" s="5" t="str">
        <f>IF($A11="","",INDEX(Influential_Persons!$D:$D,MATCH($A11,Influential_Persons!$A:$A,0)))</f>
        <v>Influential</v>
      </c>
      <c r="D11" s="5">
        <f>IF($A11="","",INDEX(Influential_Persons!$E:$E,MATCH($A11,Influential_Persons!$A:$A,0)))</f>
        <v>7500169804</v>
      </c>
      <c r="E11" s="5" t="str">
        <f>IF($A11="","",INDEX(Influential_Persons!$F:$F,MATCH($A11,Influential_Persons!$A:$A,0)))</f>
        <v>BJP</v>
      </c>
      <c r="G11" s="17" t="s">
        <v>7</v>
      </c>
      <c r="H11" s="20" t="str">
        <f>IFERROR(INDEX(Gram_Panchayat_Master!$H:$H,MATCH($B$24,Gram_Panchayat_Master!$A:$A,0)),"")</f>
        <v>पेयजल समस्या</v>
      </c>
      <c r="I11" s="20"/>
      <c r="J11" s="20"/>
      <c r="K11" s="20"/>
      <c r="L11" s="20"/>
      <c r="M11" s="20"/>
    </row>
    <row r="12" spans="1:13" ht="15.75" customHeight="1">
      <c r="A12" s="5" t="str">
        <f>IFERROR(INDEX(Influential_Persons!$A:$A,_xlfn.AGGREGATE(15,6,ROW(Influential_Persons!$B$2:$B$199)/(Influential_Persons!$B$2:$B$199=$B$23),ROWS($A$3:A12))),"")</f>
        <v>P010</v>
      </c>
      <c r="B12" s="5" t="str">
        <f>IF($A12="","",INDEX(Influential_Persons!$C:$C,MATCH($A12,Influential_Persons!$A:$A,0)))</f>
        <v>Mangle Lal</v>
      </c>
      <c r="C12" s="5" t="str">
        <f>IF($A12="","",INDEX(Influential_Persons!$D:$D,MATCH($A12,Influential_Persons!$A:$A,0)))</f>
        <v>Influential</v>
      </c>
      <c r="D12" s="5">
        <f>IF($A12="","",INDEX(Influential_Persons!$E:$E,MATCH($A12,Influential_Persons!$A:$A,0)))</f>
        <v>9756613457</v>
      </c>
      <c r="E12" s="5" t="str">
        <f>IF($A12="","",INDEX(Influential_Persons!$F:$F,MATCH($A12,Influential_Persons!$A:$A,0)))</f>
        <v>BJP</v>
      </c>
      <c r="H12" s="20"/>
      <c r="I12" s="20"/>
      <c r="J12" s="20"/>
      <c r="K12" s="20"/>
      <c r="L12" s="20"/>
      <c r="M12" s="20"/>
    </row>
    <row r="13" spans="1:13" ht="15" customHeight="1">
      <c r="A13" s="5" t="str">
        <f>IFERROR(INDEX(Influential_Persons!$A:$A,_xlfn.AGGREGATE(15,6,ROW(Influential_Persons!$B$2:$B$199)/(Influential_Persons!$B$2:$B$199=$B$23),ROWS($A$3:A13))),"")</f>
        <v>P011</v>
      </c>
      <c r="B13" s="5" t="str">
        <f>IF($A13="","",INDEX(Influential_Persons!$C:$C,MATCH($A13,Influential_Persons!$A:$A,0)))</f>
        <v>Hasnen</v>
      </c>
      <c r="C13" s="5" t="str">
        <f>IF($A13="","",INDEX(Influential_Persons!$D:$D,MATCH($A13,Influential_Persons!$A:$A,0)))</f>
        <v>Influential</v>
      </c>
      <c r="D13" s="5">
        <f>IF($A13="","",INDEX(Influential_Persons!$E:$E,MATCH($A13,Influential_Persons!$A:$A,0)))</f>
        <v>8433147226</v>
      </c>
      <c r="E13" s="5" t="str">
        <f>IF($A13="","",INDEX(Influential_Persons!$F:$F,MATCH($A13,Influential_Persons!$A:$A,0)))</f>
        <v>SP</v>
      </c>
      <c r="G13" s="17" t="s">
        <v>8</v>
      </c>
      <c r="H13" s="20" t="str">
        <f>IFERROR(INDEX(Gram_Panchayat_Master!$I:$I,MATCH($B$24,Gram_Panchayat_Master!$A:$A,0)),"")</f>
        <v>युवाओं में बेरोजगारी अधिक</v>
      </c>
      <c r="I13" s="20"/>
      <c r="J13" s="20"/>
      <c r="K13" s="20"/>
      <c r="L13" s="20"/>
      <c r="M13" s="20"/>
    </row>
    <row r="14" spans="1:13" ht="15.75" customHeight="1">
      <c r="A14" s="5" t="str">
        <f>IFERROR(INDEX(Influential_Persons!$A:$A,_xlfn.AGGREGATE(15,6,ROW(Influential_Persons!$B$2:$B$199)/(Influential_Persons!$B$2:$B$199=$B$23),ROWS($A$3:A14))),"")</f>
        <v>P012</v>
      </c>
      <c r="B14" s="5" t="str">
        <f>IF($A14="","",INDEX(Influential_Persons!$C:$C,MATCH($A14,Influential_Persons!$A:$A,0)))</f>
        <v>Edrees</v>
      </c>
      <c r="C14" s="5" t="str">
        <f>IF($A14="","",INDEX(Influential_Persons!$D:$D,MATCH($A14,Influential_Persons!$A:$A,0)))</f>
        <v>BDC Candidate</v>
      </c>
      <c r="D14" s="5">
        <f>IF($A14="","",INDEX(Influential_Persons!$E:$E,MATCH($A14,Influential_Persons!$A:$A,0)))</f>
        <v>8077458224</v>
      </c>
      <c r="E14" s="5" t="str">
        <f>IF($A14="","",INDEX(Influential_Persons!$F:$F,MATCH($A14,Influential_Persons!$A:$A,0)))</f>
        <v>SP</v>
      </c>
      <c r="H14" s="20"/>
      <c r="I14" s="20"/>
      <c r="J14" s="20"/>
      <c r="K14" s="20"/>
      <c r="L14" s="20"/>
      <c r="M14" s="20"/>
    </row>
    <row r="15" spans="1:13" ht="15.75" customHeight="1">
      <c r="A15" s="21" t="s">
        <v>110</v>
      </c>
      <c r="B15" s="21"/>
      <c r="C15" s="21"/>
      <c r="D15" s="21"/>
      <c r="E15" s="21"/>
      <c r="G15" s="19" t="s">
        <v>6</v>
      </c>
      <c r="H15" s="19"/>
    </row>
    <row r="16" spans="1:13" ht="15" customHeight="1">
      <c r="A16" s="18" t="s">
        <v>111</v>
      </c>
      <c r="B16" t="s">
        <v>112</v>
      </c>
      <c r="C16" s="18" t="s">
        <v>85</v>
      </c>
      <c r="D16" s="18" t="s">
        <v>88</v>
      </c>
      <c r="E16" s="18" t="s">
        <v>99</v>
      </c>
      <c r="G16" s="19" t="str">
        <f>IFERROR(INDEX(Gram_Panchayat_Master!$G:$G,MATCH($B$24,Gram_Panchayat_Master!$A:$A,0)),"")</f>
        <v>Good</v>
      </c>
      <c r="H16" s="19"/>
    </row>
    <row r="17" spans="1:8" ht="15" customHeight="1">
      <c r="A17" s="5">
        <f>IFERROR(INDEX(Booth_Master!$C:$C,_xlfn.AGGREGATE(15,6,ROW(Booth_Master!$B$2:$B$200)/(Booth_Master!$B$2:$B$200=$B$23),ROWS($A$17:A17))),"")</f>
        <v>271</v>
      </c>
      <c r="B17" s="5">
        <f>IFERROR(INDEX(Booth_Master!$D:$D,_xlfn.AGGREGATE(15,6,ROW(Booth_Master!$B$2:$B$200)/(Booth_Master!$B$2:$B$200=$B$23),ROWS($A$17:A17))),"")</f>
        <v>271</v>
      </c>
      <c r="C17" s="5">
        <f>IFERROR(INDEX(Election_Result_2022!$C:$C,MATCH(INDEX(Booth_Master!$A:$A,_xlfn.AGGREGATE(15,6,ROW(Booth_Master!$B$2:$B$200)/(Booth_Master!$B$2:$B$200=$B$23),ROWS($A$17:A17))),Election_Result_2022!$B:$B,0)),"")</f>
        <v>310</v>
      </c>
      <c r="D17" s="5">
        <f>IFERROR(INDEX(Election_Result_2022!$D:$D,MATCH(INDEX(Booth_Master!$A:$A,_xlfn.AGGREGATE(15,6,ROW(Booth_Master!$B$2:$B$200)/(Booth_Master!$B$2:$B$200=$B$23),ROWS($A$17:A17))),Election_Result_2022!$B:$B,0)),"")</f>
        <v>250</v>
      </c>
      <c r="E17" s="5">
        <f>IFERROR(INDEX(Election_Result_2022!$E:$E,MATCH(INDEX(Booth_Master!$A:$A,_xlfn.AGGREGATE(15,6,ROW(Booth_Master!$B$2:$B$200)/(Booth_Master!$B$2:$B$200=$B$23),ROWS($A$17:A17))),Election_Result_2022!$B:$B,0)),"")</f>
        <v>120</v>
      </c>
    </row>
    <row r="18" spans="1:8" ht="15" customHeight="1">
      <c r="A18" s="5">
        <f>IFERROR(INDEX(Booth_Master!$C:$C,_xlfn.AGGREGATE(15,6,ROW(Booth_Master!$B$2:$B$200)/(Booth_Master!$B$2:$B$200=$B$23),ROWS($A$17:A18))),"")</f>
        <v>272</v>
      </c>
      <c r="B18" s="5">
        <f>IFERROR(INDEX(Booth_Master!$D:$D,_xlfn.AGGREGATE(15,6,ROW(Booth_Master!$B$2:$B$200)/(Booth_Master!$B$2:$B$200=$B$23),ROWS($A$17:A18))),"")</f>
        <v>272</v>
      </c>
      <c r="C18" s="5">
        <f>IFERROR(INDEX(Election_Result_2022!$C:$C,MATCH(INDEX(Booth_Master!$A:$A,_xlfn.AGGREGATE(15,6,ROW(Booth_Master!$B$2:$B$200)/(Booth_Master!$B$2:$B$200=$B$23),ROWS($A$17:A18))),Election_Result_2022!$B:$B,0)),"")</f>
        <v>100</v>
      </c>
      <c r="D18" s="5">
        <f>IFERROR(INDEX(Election_Result_2022!$D:$D,MATCH(INDEX(Booth_Master!$A:$A,_xlfn.AGGREGATE(15,6,ROW(Booth_Master!$B$2:$B$200)/(Booth_Master!$B$2:$B$200=$B$23),ROWS($A$17:A18))),Election_Result_2022!$B:$B,0)),"")</f>
        <v>270</v>
      </c>
      <c r="E18" s="5">
        <f>IFERROR(INDEX(Election_Result_2022!$E:$E,MATCH(INDEX(Booth_Master!$A:$A,_xlfn.AGGREGATE(15,6,ROW(Booth_Master!$B$2:$B$200)/(Booth_Master!$B$2:$B$200=$B$23),ROWS($A$17:A18))),Election_Result_2022!$B:$B,0)),"")</f>
        <v>100</v>
      </c>
      <c r="G18" s="19" t="s">
        <v>113</v>
      </c>
      <c r="H18" s="19"/>
    </row>
    <row r="19" spans="1:8" ht="15" customHeight="1">
      <c r="A19" s="5">
        <f>IFERROR(INDEX(Booth_Master!$C:$C,_xlfn.AGGREGATE(15,6,ROW(Booth_Master!$B$2:$B$200)/(Booth_Master!$B$2:$B$200=$B$23),ROWS($A$17:A19))),"")</f>
        <v>273</v>
      </c>
      <c r="B19" s="5">
        <f>IFERROR(INDEX(Booth_Master!$D:$D,_xlfn.AGGREGATE(15,6,ROW(Booth_Master!$B$2:$B$200)/(Booth_Master!$B$2:$B$200=$B$23),ROWS($A$17:A19))),"")</f>
        <v>273</v>
      </c>
      <c r="C19" s="5">
        <f>IFERROR(INDEX(Election_Result_2022!$C:$C,MATCH(INDEX(Booth_Master!$A:$A,_xlfn.AGGREGATE(15,6,ROW(Booth_Master!$B$2:$B$200)/(Booth_Master!$B$2:$B$200=$B$23),ROWS($A$17:A19))),Election_Result_2022!$B:$B,0)),"")</f>
        <v>180</v>
      </c>
      <c r="D19" s="5">
        <f>IFERROR(INDEX(Election_Result_2022!$D:$D,MATCH(INDEX(Booth_Master!$A:$A,_xlfn.AGGREGATE(15,6,ROW(Booth_Master!$B$2:$B$200)/(Booth_Master!$B$2:$B$200=$B$23),ROWS($A$17:A19))),Election_Result_2022!$B:$B,0)),"")</f>
        <v>300</v>
      </c>
      <c r="E19" s="5">
        <f>IFERROR(INDEX(Election_Result_2022!$E:$E,MATCH(INDEX(Booth_Master!$A:$A,_xlfn.AGGREGATE(15,6,ROW(Booth_Master!$B$2:$B$200)/(Booth_Master!$B$2:$B$200=$B$23),ROWS($A$17:A19))),Election_Result_2022!$B:$B,0)),"")</f>
        <v>90</v>
      </c>
      <c r="G19" s="19" t="str">
        <f>IFERROR(INDEX(Gram_Panchayat_Master!$J:$J,MATCH($B$24,Gram_Panchayat_Master!$A:$A,0)),"")</f>
        <v>थोडा होगा लेकिन जयादा असर नहीं पड़ेगा</v>
      </c>
      <c r="H19" s="19"/>
    </row>
    <row r="20" spans="1:8" ht="15" customHeight="1">
      <c r="A20" s="5" t="str">
        <f>IFERROR(INDEX(Booth_Master!$C:$C,_xlfn.AGGREGATE(15,6,ROW(Booth_Master!$B$2:$B$200)/(Booth_Master!$B$2:$B$200=$B$23),ROWS($A$17:A20))),"")</f>
        <v/>
      </c>
      <c r="B20" s="5" t="str">
        <f>IFERROR(INDEX(Booth_Master!$D:$D,_xlfn.AGGREGATE(15,6,ROW(Booth_Master!$B$2:$B$200)/(Booth_Master!$B$2:$B$200=$B$23),ROWS($A$17:A20))),"")</f>
        <v/>
      </c>
      <c r="C20" s="5" t="str">
        <f>IFERROR(INDEX(Election_Result_2022!$C:$C,MATCH(INDEX(Booth_Master!$A:$A,_xlfn.AGGREGATE(15,6,ROW(Booth_Master!$B$2:$B$200)/(Booth_Master!$B$2:$B$200=$B$23),ROWS($A$17:A20))),Election_Result_2022!$B:$B,0)),"")</f>
        <v/>
      </c>
      <c r="D20" s="5" t="str">
        <f>IFERROR(INDEX(Election_Result_2022!$D:$D,MATCH(INDEX(Booth_Master!$A:$A,_xlfn.AGGREGATE(15,6,ROW(Booth_Master!$B$2:$B$200)/(Booth_Master!$B$2:$B$200=$B$23),ROWS($A$17:A20))),Election_Result_2022!$B:$B,0)),"")</f>
        <v/>
      </c>
      <c r="E20" s="5" t="str">
        <f>IFERROR(INDEX(Election_Result_2022!$E:$E,MATCH(INDEX(Booth_Master!$A:$A,_xlfn.AGGREGATE(15,6,ROW(Booth_Master!$B$2:$B$200)/(Booth_Master!$B$2:$B$200=$B$23),ROWS($A$17:A20))),Election_Result_2022!$B:$B,0)),"")</f>
        <v/>
      </c>
    </row>
    <row r="21" spans="1:8" ht="15" customHeight="1">
      <c r="A21" s="5" t="str">
        <f>IFERROR(INDEX(Booth_Master!$C:$C,_xlfn.AGGREGATE(15,6,ROW(Booth_Master!$B$2:$B$200)/(Booth_Master!$B$2:$B$200=$B$23),ROWS($A$17:A21))),"")</f>
        <v/>
      </c>
      <c r="B21" s="5" t="str">
        <f>IFERROR(INDEX(Booth_Master!$D:$D,_xlfn.AGGREGATE(15,6,ROW(Booth_Master!$B$2:$B$200)/(Booth_Master!$B$2:$B$200=$B$23),ROWS($A$17:A21))),"")</f>
        <v/>
      </c>
      <c r="C21" s="5" t="str">
        <f>IFERROR(INDEX(Election_Result_2022!$C:$C,MATCH(INDEX(Booth_Master!$A:$A,_xlfn.AGGREGATE(15,6,ROW(Booth_Master!$B$2:$B$200)/(Booth_Master!$B$2:$B$200=$B$23),ROWS($A$17:A21))),Election_Result_2022!$B:$B,0)),"")</f>
        <v/>
      </c>
      <c r="D21" s="5" t="str">
        <f>IFERROR(INDEX(Election_Result_2022!$D:$D,MATCH(INDEX(Booth_Master!$A:$A,_xlfn.AGGREGATE(15,6,ROW(Booth_Master!$B$2:$B$200)/(Booth_Master!$B$2:$B$200=$B$23),ROWS($A$17:A21))),Election_Result_2022!$B:$B,0)),"")</f>
        <v/>
      </c>
      <c r="E21" s="5" t="str">
        <f>IFERROR(INDEX(Election_Result_2022!$E:$E,MATCH(INDEX(Booth_Master!$A:$A,_xlfn.AGGREGATE(15,6,ROW(Booth_Master!$B$2:$B$200)/(Booth_Master!$B$2:$B$200=$B$23),ROWS($A$17:A21))),Election_Result_2022!$B:$B,0)),"")</f>
        <v/>
      </c>
    </row>
    <row r="23" spans="1:8" ht="15" customHeight="1">
      <c r="A23" t="s">
        <v>114</v>
      </c>
      <c r="B23" t="str">
        <f>IFERROR(INDEX(Village_Master!$A:$A,MATCH($C$1,Village_Master!$C:$C,0)),"Not Found")</f>
        <v>V001</v>
      </c>
    </row>
    <row r="24" spans="1:8" ht="15" customHeight="1">
      <c r="A24" t="s">
        <v>115</v>
      </c>
      <c r="B24" t="str">
        <f>IFERROR(INDEX(Village_Master!$B:$B,MATCH($C$1,Village_Master!$C:$C,0)),"")</f>
        <v>GP001</v>
      </c>
    </row>
  </sheetData>
  <mergeCells count="7">
    <mergeCell ref="G18:H18"/>
    <mergeCell ref="G19:H19"/>
    <mergeCell ref="H11:M12"/>
    <mergeCell ref="H13:M14"/>
    <mergeCell ref="A15:E15"/>
    <mergeCell ref="G15:H15"/>
    <mergeCell ref="G16:H16"/>
  </mergeCells>
  <conditionalFormatting sqref="A2:E2 G2 J2:L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{6BA992E8-933B-4F74-9559-DC1191B1AC67}</x14:id>
        </ext>
      </extLst>
    </cfRule>
  </conditionalFormatting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A992E8-933B-4F74-9559-DC1191B1AC67}">
            <x14:dataBar axisPosition="none">
              <x14:cfvo type="min"/>
              <x14:cfvo type="max"/>
              <x14:negativeFillColor rgb="FF638EC6"/>
            </x14:dataBar>
          </x14:cfRule>
          <xm:sqref>A2:E2 G2 J2:L2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Gram_Panchayat_Master</vt:lpstr>
      <vt:lpstr>Village_Master</vt:lpstr>
      <vt:lpstr>Booth_Master</vt:lpstr>
      <vt:lpstr>Election_Result_2022</vt:lpstr>
      <vt:lpstr>Caste_Data</vt:lpstr>
      <vt:lpstr>Influential_Persons</vt:lpstr>
      <vt:lpstr>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Vikas Kumar</dc:creator>
  <dc:description/>
  <cp:lastModifiedBy>Vikas Kumar</cp:lastModifiedBy>
  <cp:revision>0</cp:revision>
  <dcterms:created xsi:type="dcterms:W3CDTF">2026-06-16T17:26:47Z</dcterms:created>
  <dcterms:modified xsi:type="dcterms:W3CDTF">2026-06-18T02:42:13Z</dcterms:modified>
  <dc:language>en-US</dc:language>
</cp:coreProperties>
</file>