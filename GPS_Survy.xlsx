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Gram_Panchayat_Master" sheetId="1" state="visible" r:id="rId3"/>
    <sheet name="Village_Master" sheetId="2" state="visible" r:id="rId4"/>
    <sheet name="Booth_Master" sheetId="3" state="visible" r:id="rId5"/>
    <sheet name="Election_Result_2022" sheetId="4" state="visible" r:id="rId6"/>
    <sheet name="Caste_Data" sheetId="5" state="visible" r:id="rId7"/>
    <sheet name="Influential_Persons" sheetId="6" state="visible" r:id="rId8"/>
    <sheet name="Search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<sst xmlns="http://schemas.openxmlformats.org/spreadsheetml/2006/main" count="319" uniqueCount="185">
  <si>
    <t xml:space="preserve">GP_ID</t>
  </si>
  <si>
    <t xml:space="preserve">Gram_Panchayat</t>
  </si>
  <si>
    <t xml:space="preserve">Block</t>
  </si>
  <si>
    <t xml:space="preserve">Tehsil</t>
  </si>
  <si>
    <t xml:space="preserve">District</t>
  </si>
  <si>
    <t xml:space="preserve">Vidhansabha</t>
  </si>
  <si>
    <t xml:space="preserve">Bihavior Of Prashant Patel</t>
  </si>
  <si>
    <t xml:space="preserve">मुख्य_समस्या</t>
  </si>
  <si>
    <t xml:space="preserve">विशेष_टिप्पणी</t>
  </si>
  <si>
    <t xml:space="preserve">Muslim Vote Devidetion</t>
  </si>
  <si>
    <t xml:space="preserve">Form Photo</t>
  </si>
  <si>
    <t xml:space="preserve">GP001</t>
  </si>
  <si>
    <t xml:space="preserve">Uganpur</t>
  </si>
  <si>
    <t xml:space="preserve">Bithri Chainpur</t>
  </si>
  <si>
    <t xml:space="preserve">Nawabganj</t>
  </si>
  <si>
    <t xml:space="preserve">Bareilly</t>
  </si>
  <si>
    <t xml:space="preserve">Bhojipura</t>
  </si>
  <si>
    <t xml:space="preserve">Good</t>
  </si>
  <si>
    <t xml:space="preserve">पेयजल समस्या</t>
  </si>
  <si>
    <t xml:space="preserve">युवाओं में बेरोजगारी अधिक</t>
  </si>
  <si>
    <t xml:space="preserve">थोडा होगा लेकिन जयादा असर नहीं पड़ेगा</t>
  </si>
  <si>
    <t xml:space="preserve">GP002</t>
  </si>
  <si>
    <t xml:space="preserve">Maheshpur</t>
  </si>
  <si>
    <t xml:space="preserve">Avrage</t>
  </si>
  <si>
    <t xml:space="preserve">सड़क खराब</t>
  </si>
  <si>
    <t xml:space="preserve">किसान सिंचाई की मांग कर रहे हैं</t>
  </si>
  <si>
    <t xml:space="preserve">खास असर नहीं होगा</t>
  </si>
  <si>
    <t xml:space="preserve">GP003</t>
  </si>
  <si>
    <t xml:space="preserve">Ratnanandpur</t>
  </si>
  <si>
    <t xml:space="preserve">Not Good</t>
  </si>
  <si>
    <t xml:space="preserve">जल निकासी</t>
  </si>
  <si>
    <t xml:space="preserve">पंचायत भवन की मरम्मत आवश्यक</t>
  </si>
  <si>
    <t xml:space="preserve">बहुत असर होगा </t>
  </si>
  <si>
    <t xml:space="preserve">GP004</t>
  </si>
  <si>
    <t xml:space="preserve">Kalari</t>
  </si>
  <si>
    <t xml:space="preserve">Bad</t>
  </si>
  <si>
    <t xml:space="preserve">बिजली समस्या</t>
  </si>
  <si>
    <t xml:space="preserve">नई सड़क की आवश्यकता</t>
  </si>
  <si>
    <t xml:space="preserve">मुस्लिम नहीं है</t>
  </si>
  <si>
    <t xml:space="preserve">Village_ID</t>
  </si>
  <si>
    <t xml:space="preserve">Village_Name</t>
  </si>
  <si>
    <t xml:space="preserve">V001</t>
  </si>
  <si>
    <t xml:space="preserve">Kacholi</t>
  </si>
  <si>
    <t xml:space="preserve">V002</t>
  </si>
  <si>
    <t xml:space="preserve">V003</t>
  </si>
  <si>
    <t xml:space="preserve">Rampur</t>
  </si>
  <si>
    <t xml:space="preserve">V004</t>
  </si>
  <si>
    <t xml:space="preserve">V005</t>
  </si>
  <si>
    <t xml:space="preserve">Shashimuddinpur</t>
  </si>
  <si>
    <t xml:space="preserve">V006</t>
  </si>
  <si>
    <t xml:space="preserve">V007</t>
  </si>
  <si>
    <t xml:space="preserve">Nawada</t>
  </si>
  <si>
    <t xml:space="preserve">V008</t>
  </si>
  <si>
    <t xml:space="preserve">V009</t>
  </si>
  <si>
    <t xml:space="preserve">Kalyanpur</t>
  </si>
  <si>
    <t xml:space="preserve">V010</t>
  </si>
  <si>
    <t xml:space="preserve">Nagla</t>
  </si>
  <si>
    <t xml:space="preserve">Booth_ID</t>
  </si>
  <si>
    <t xml:space="preserve">Booth_No_Old</t>
  </si>
  <si>
    <t xml:space="preserve">Both_No_New</t>
  </si>
  <si>
    <t xml:space="preserve">Total_Voters</t>
  </si>
  <si>
    <t xml:space="preserve">Male_Voters</t>
  </si>
  <si>
    <t xml:space="preserve">Female_Voters</t>
  </si>
  <si>
    <t xml:space="preserve">B001</t>
  </si>
  <si>
    <t xml:space="preserve">B002</t>
  </si>
  <si>
    <t xml:space="preserve">B003</t>
  </si>
  <si>
    <t xml:space="preserve">B004</t>
  </si>
  <si>
    <t xml:space="preserve">B005</t>
  </si>
  <si>
    <t xml:space="preserve">B006</t>
  </si>
  <si>
    <t xml:space="preserve">B007</t>
  </si>
  <si>
    <t xml:space="preserve">B008</t>
  </si>
  <si>
    <t xml:space="preserve">B009</t>
  </si>
  <si>
    <t xml:space="preserve">B010</t>
  </si>
  <si>
    <t xml:space="preserve">B011</t>
  </si>
  <si>
    <t xml:space="preserve">B012</t>
  </si>
  <si>
    <t xml:space="preserve">B013</t>
  </si>
  <si>
    <t xml:space="preserve">B014</t>
  </si>
  <si>
    <t xml:space="preserve">Election_ID</t>
  </si>
  <si>
    <t xml:space="preserve">BJP_Votes</t>
  </si>
  <si>
    <t xml:space="preserve">SP_Votes</t>
  </si>
  <si>
    <t xml:space="preserve">BSP_Votes</t>
  </si>
  <si>
    <t xml:space="preserve">E001</t>
  </si>
  <si>
    <t xml:space="preserve">E002</t>
  </si>
  <si>
    <t xml:space="preserve">E003</t>
  </si>
  <si>
    <t xml:space="preserve">E004</t>
  </si>
  <si>
    <t xml:space="preserve">E005</t>
  </si>
  <si>
    <t xml:space="preserve">E006</t>
  </si>
  <si>
    <t xml:space="preserve">E007</t>
  </si>
  <si>
    <t xml:space="preserve">E008</t>
  </si>
  <si>
    <t xml:space="preserve">E009</t>
  </si>
  <si>
    <t xml:space="preserve">E010</t>
  </si>
  <si>
    <t xml:space="preserve">E011</t>
  </si>
  <si>
    <t xml:space="preserve">E012</t>
  </si>
  <si>
    <t xml:space="preserve">E013</t>
  </si>
  <si>
    <t xml:space="preserve">E014</t>
  </si>
  <si>
    <t xml:space="preserve">Caste_ID</t>
  </si>
  <si>
    <t xml:space="preserve">Religion</t>
  </si>
  <si>
    <t xml:space="preserve">Caste_Name</t>
  </si>
  <si>
    <t xml:space="preserve">Voters</t>
  </si>
  <si>
    <t xml:space="preserve">C001</t>
  </si>
  <si>
    <t xml:space="preserve">Hindu</t>
  </si>
  <si>
    <t xml:space="preserve">Yadav</t>
  </si>
  <si>
    <t xml:space="preserve">C002</t>
  </si>
  <si>
    <t xml:space="preserve">Jatav</t>
  </si>
  <si>
    <t xml:space="preserve">C003</t>
  </si>
  <si>
    <t xml:space="preserve">Brahmin</t>
  </si>
  <si>
    <t xml:space="preserve">C004</t>
  </si>
  <si>
    <t xml:space="preserve">Kurmi</t>
  </si>
  <si>
    <t xml:space="preserve">C005</t>
  </si>
  <si>
    <t xml:space="preserve">Muslim</t>
  </si>
  <si>
    <t xml:space="preserve">Ansari</t>
  </si>
  <si>
    <t xml:space="preserve">C006</t>
  </si>
  <si>
    <t xml:space="preserve">Qureshi</t>
  </si>
  <si>
    <t xml:space="preserve">C007</t>
  </si>
  <si>
    <t xml:space="preserve">Rajput</t>
  </si>
  <si>
    <t xml:space="preserve">C008</t>
  </si>
  <si>
    <t xml:space="preserve">C009</t>
  </si>
  <si>
    <t xml:space="preserve">C010</t>
  </si>
  <si>
    <t xml:space="preserve">C011</t>
  </si>
  <si>
    <t xml:space="preserve">C012</t>
  </si>
  <si>
    <t xml:space="preserve">C013</t>
  </si>
  <si>
    <t xml:space="preserve">C014</t>
  </si>
  <si>
    <t xml:space="preserve">C015</t>
  </si>
  <si>
    <t xml:space="preserve">Prajapati</t>
  </si>
  <si>
    <t xml:space="preserve">C016</t>
  </si>
  <si>
    <t xml:space="preserve">Varma</t>
  </si>
  <si>
    <t xml:space="preserve">C017</t>
  </si>
  <si>
    <t xml:space="preserve">C018</t>
  </si>
  <si>
    <t xml:space="preserve">Person_ID</t>
  </si>
  <si>
    <t xml:space="preserve">Name</t>
  </si>
  <si>
    <t xml:space="preserve">Role</t>
  </si>
  <si>
    <t xml:space="preserve">Mobile</t>
  </si>
  <si>
    <t xml:space="preserve">Political_Affiliation</t>
  </si>
  <si>
    <t xml:space="preserve">P001</t>
  </si>
  <si>
    <t xml:space="preserve">Ram Kumar</t>
  </si>
  <si>
    <t xml:space="preserve">Gram Pradhan</t>
  </si>
  <si>
    <t xml:space="preserve">98XXXXXX01</t>
  </si>
  <si>
    <t xml:space="preserve">BJP</t>
  </si>
  <si>
    <t xml:space="preserve">P002</t>
  </si>
  <si>
    <t xml:space="preserve">Mohan Singh</t>
  </si>
  <si>
    <t xml:space="preserve">Former Pradhan</t>
  </si>
  <si>
    <t xml:space="preserve">98XXXXXX02</t>
  </si>
  <si>
    <t xml:space="preserve">SP</t>
  </si>
  <si>
    <t xml:space="preserve">P003</t>
  </si>
  <si>
    <t xml:space="preserve">Ravi Yadav</t>
  </si>
  <si>
    <t xml:space="preserve">BDC Member</t>
  </si>
  <si>
    <t xml:space="preserve">98XXXXXX03</t>
  </si>
  <si>
    <t xml:space="preserve">Neutral</t>
  </si>
  <si>
    <t xml:space="preserve">P004</t>
  </si>
  <si>
    <t xml:space="preserve">Imran Khan</t>
  </si>
  <si>
    <t xml:space="preserve">98XXXXXX04</t>
  </si>
  <si>
    <t xml:space="preserve">P005</t>
  </si>
  <si>
    <t xml:space="preserve">Manoj Sharma</t>
  </si>
  <si>
    <t xml:space="preserve">Teacher</t>
  </si>
  <si>
    <t xml:space="preserve">98XXXXXX05</t>
  </si>
  <si>
    <t xml:space="preserve">P006</t>
  </si>
  <si>
    <t xml:space="preserve">Ajay Singh</t>
  </si>
  <si>
    <t xml:space="preserve">Businessman</t>
  </si>
  <si>
    <t xml:space="preserve">98XXXXXX06</t>
  </si>
  <si>
    <t xml:space="preserve">P007</t>
  </si>
  <si>
    <t xml:space="preserve">Vikas</t>
  </si>
  <si>
    <t xml:space="preserve">Pradhan Candidate</t>
  </si>
  <si>
    <t xml:space="preserve">P008</t>
  </si>
  <si>
    <t xml:space="preserve">Raj</t>
  </si>
  <si>
    <t xml:space="preserve">Influential</t>
  </si>
  <si>
    <t xml:space="preserve">P009</t>
  </si>
  <si>
    <t xml:space="preserve">Raju</t>
  </si>
  <si>
    <t xml:space="preserve">Caddu</t>
  </si>
  <si>
    <t xml:space="preserve">BSP</t>
  </si>
  <si>
    <t xml:space="preserve">P010</t>
  </si>
  <si>
    <t xml:space="preserve">Enter Village Name</t>
  </si>
  <si>
    <t xml:space="preserve">Gram Panchayat</t>
  </si>
  <si>
    <t xml:space="preserve">All Villege</t>
  </si>
  <si>
    <t xml:space="preserve">Total Vote</t>
  </si>
  <si>
    <t xml:space="preserve">Total Vote </t>
  </si>
  <si>
    <t xml:space="preserve">Political Affiliation</t>
  </si>
  <si>
    <t xml:space="preserve">Hindu Cast</t>
  </si>
  <si>
    <t xml:space="preserve">Muslim Cast</t>
  </si>
  <si>
    <t xml:space="preserve">Vidhan Sabha</t>
  </si>
  <si>
    <t xml:space="preserve">2022 Result</t>
  </si>
  <si>
    <t xml:space="preserve">Old Both Number</t>
  </si>
  <si>
    <t xml:space="preserve">New Both Number</t>
  </si>
  <si>
    <t xml:space="preserve">Muslim Vote devidation</t>
  </si>
  <si>
    <t xml:space="preserve">Village_ID (helper)</t>
  </si>
  <si>
    <t xml:space="preserve">GP_ID (helper)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</si>
</sst>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FreeSans"/>
      <family val="2"/>
      <charset val="1"/>
    </font>
    <font>
      <sz val="11"/>
      <color theme="1"/>
      <name val="FreeSans"/>
      <family val="2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5" activeCellId="0" sqref="L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10" min="10" style="1" width="16.84"/>
  </cols>
  <sheetData>
    <row r="1" customFormat="false" ht="6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2" t="s">
        <v>9</v>
      </c>
      <c r="K1" s="2" t="s">
        <v>10</v>
      </c>
    </row>
    <row r="2" customFormat="false" ht="45" hidden="false" customHeight="true" outlineLevel="0" collapsed="false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 t="s">
        <v>18</v>
      </c>
      <c r="I2" s="5" t="s">
        <v>19</v>
      </c>
      <c r="J2" s="5" t="s">
        <v>20</v>
      </c>
    </row>
    <row r="3" customFormat="false" ht="60" hidden="false" customHeight="true" outlineLevel="0" collapsed="false">
      <c r="A3" s="4" t="s">
        <v>21</v>
      </c>
      <c r="B3" s="4" t="s">
        <v>22</v>
      </c>
      <c r="C3" s="4" t="s">
        <v>13</v>
      </c>
      <c r="D3" s="4" t="s">
        <v>14</v>
      </c>
      <c r="E3" s="4" t="s">
        <v>15</v>
      </c>
      <c r="F3" s="4" t="s">
        <v>16</v>
      </c>
      <c r="G3" s="4" t="s">
        <v>23</v>
      </c>
      <c r="H3" s="5" t="s">
        <v>24</v>
      </c>
      <c r="I3" s="5" t="s">
        <v>25</v>
      </c>
      <c r="J3" s="5" t="s">
        <v>26</v>
      </c>
    </row>
    <row r="4" customFormat="false" ht="60" hidden="false" customHeight="true" outlineLevel="0" collapsed="false">
      <c r="A4" s="4" t="s">
        <v>27</v>
      </c>
      <c r="B4" s="4" t="s">
        <v>28</v>
      </c>
      <c r="C4" s="4" t="s">
        <v>14</v>
      </c>
      <c r="D4" s="4" t="s">
        <v>14</v>
      </c>
      <c r="E4" s="4" t="s">
        <v>15</v>
      </c>
      <c r="F4" s="4" t="s">
        <v>16</v>
      </c>
      <c r="G4" s="4" t="s">
        <v>29</v>
      </c>
      <c r="H4" s="5" t="s">
        <v>30</v>
      </c>
      <c r="I4" s="5" t="s">
        <v>31</v>
      </c>
      <c r="J4" s="5" t="s">
        <v>32</v>
      </c>
    </row>
    <row r="5" customFormat="false" ht="75" hidden="false" customHeight="true" outlineLevel="0" collapsed="false">
      <c r="A5" s="4" t="s">
        <v>33</v>
      </c>
      <c r="B5" s="4" t="s">
        <v>34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35</v>
      </c>
      <c r="H5" s="5" t="s">
        <v>36</v>
      </c>
      <c r="I5" s="5" t="s">
        <v>37</v>
      </c>
      <c r="J5" s="5" t="s">
        <v>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8.6796875" defaultRowHeight="15" zeroHeight="false" outlineLevelRow="0" outlineLevelCol="0"/>
  <sheetData>
    <row r="1" customFormat="false" ht="30" hidden="false" customHeight="true" outlineLevel="0" collapsed="false">
      <c r="A1" s="2" t="s">
        <v>39</v>
      </c>
      <c r="B1" s="2" t="s">
        <v>0</v>
      </c>
      <c r="C1" s="2" t="s">
        <v>40</v>
      </c>
    </row>
    <row r="2" customFormat="false" ht="15" hidden="false" customHeight="true" outlineLevel="0" collapsed="false">
      <c r="A2" s="4" t="s">
        <v>41</v>
      </c>
      <c r="B2" s="4" t="s">
        <v>11</v>
      </c>
      <c r="C2" s="4" t="s">
        <v>42</v>
      </c>
    </row>
    <row r="3" customFormat="false" ht="15" hidden="false" customHeight="true" outlineLevel="0" collapsed="false">
      <c r="A3" s="4" t="s">
        <v>43</v>
      </c>
      <c r="B3" s="4" t="s">
        <v>11</v>
      </c>
      <c r="C3" s="4" t="s">
        <v>12</v>
      </c>
    </row>
    <row r="4" customFormat="false" ht="15" hidden="false" customHeight="true" outlineLevel="0" collapsed="false">
      <c r="A4" s="4" t="s">
        <v>44</v>
      </c>
      <c r="B4" s="4" t="s">
        <v>11</v>
      </c>
      <c r="C4" s="4" t="s">
        <v>45</v>
      </c>
    </row>
    <row r="5" customFormat="false" ht="30" hidden="false" customHeight="true" outlineLevel="0" collapsed="false">
      <c r="A5" s="4" t="s">
        <v>46</v>
      </c>
      <c r="B5" s="4" t="s">
        <v>21</v>
      </c>
      <c r="C5" s="4" t="s">
        <v>22</v>
      </c>
    </row>
    <row r="6" customFormat="false" ht="30" hidden="false" customHeight="true" outlineLevel="0" collapsed="false">
      <c r="A6" s="4" t="s">
        <v>47</v>
      </c>
      <c r="B6" s="4" t="s">
        <v>21</v>
      </c>
      <c r="C6" s="4" t="s">
        <v>48</v>
      </c>
    </row>
    <row r="7" customFormat="false" ht="30" hidden="false" customHeight="true" outlineLevel="0" collapsed="false">
      <c r="A7" s="4" t="s">
        <v>49</v>
      </c>
      <c r="B7" s="4" t="s">
        <v>27</v>
      </c>
      <c r="C7" s="4" t="s">
        <v>28</v>
      </c>
    </row>
    <row r="8" customFormat="false" ht="15" hidden="false" customHeight="true" outlineLevel="0" collapsed="false">
      <c r="A8" s="4" t="s">
        <v>50</v>
      </c>
      <c r="B8" s="4" t="s">
        <v>27</v>
      </c>
      <c r="C8" s="4" t="s">
        <v>51</v>
      </c>
    </row>
    <row r="9" customFormat="false" ht="15" hidden="false" customHeight="true" outlineLevel="0" collapsed="false">
      <c r="A9" s="4" t="s">
        <v>52</v>
      </c>
      <c r="B9" s="4" t="s">
        <v>33</v>
      </c>
      <c r="C9" s="4" t="s">
        <v>34</v>
      </c>
    </row>
    <row r="10" customFormat="false" ht="30" hidden="false" customHeight="true" outlineLevel="0" collapsed="false">
      <c r="A10" s="4" t="s">
        <v>53</v>
      </c>
      <c r="B10" s="4" t="s">
        <v>33</v>
      </c>
      <c r="C10" s="4" t="s">
        <v>54</v>
      </c>
    </row>
    <row r="11" customFormat="false" ht="15" hidden="false" customHeight="true" outlineLevel="0" collapsed="false">
      <c r="A11" s="4" t="s">
        <v>55</v>
      </c>
      <c r="B11" s="4" t="s">
        <v>33</v>
      </c>
      <c r="C11" s="4" t="s">
        <v>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8.6796875" defaultRowHeight="15" zeroHeight="false" outlineLevelRow="0" outlineLevelCol="0"/>
  <sheetData>
    <row r="1" customFormat="false" ht="30" hidden="false" customHeight="true" outlineLevel="0" collapsed="false">
      <c r="A1" s="2" t="s">
        <v>57</v>
      </c>
      <c r="B1" s="2" t="s">
        <v>39</v>
      </c>
      <c r="C1" s="2" t="s">
        <v>58</v>
      </c>
      <c r="D1" s="2" t="s">
        <v>59</v>
      </c>
      <c r="E1" s="2" t="s">
        <v>60</v>
      </c>
      <c r="F1" s="2" t="s">
        <v>61</v>
      </c>
      <c r="G1" s="2" t="s">
        <v>62</v>
      </c>
    </row>
    <row r="2" customFormat="false" ht="15" hidden="false" customHeight="true" outlineLevel="0" collapsed="false">
      <c r="A2" s="4" t="s">
        <v>63</v>
      </c>
      <c r="B2" s="4" t="s">
        <v>41</v>
      </c>
      <c r="C2" s="4" t="n">
        <v>154</v>
      </c>
      <c r="D2" s="4" t="n">
        <v>155</v>
      </c>
      <c r="E2" s="4" t="n">
        <v>1082</v>
      </c>
      <c r="F2" s="4" t="n">
        <v>586</v>
      </c>
      <c r="G2" s="4" t="n">
        <v>496</v>
      </c>
    </row>
    <row r="3" customFormat="false" ht="15" hidden="false" customHeight="true" outlineLevel="0" collapsed="false">
      <c r="A3" s="4" t="s">
        <v>64</v>
      </c>
      <c r="B3" s="4" t="s">
        <v>41</v>
      </c>
      <c r="C3" s="4" t="n">
        <v>155</v>
      </c>
      <c r="D3" s="4" t="n">
        <v>178</v>
      </c>
      <c r="E3" s="4" t="n">
        <v>980</v>
      </c>
      <c r="F3" s="4" t="n">
        <v>520</v>
      </c>
      <c r="G3" s="4" t="n">
        <v>460</v>
      </c>
    </row>
    <row r="4" customFormat="false" ht="15" hidden="false" customHeight="true" outlineLevel="0" collapsed="false">
      <c r="A4" s="4" t="s">
        <v>65</v>
      </c>
      <c r="B4" s="4" t="s">
        <v>43</v>
      </c>
      <c r="C4" s="4" t="n">
        <v>156</v>
      </c>
      <c r="D4" s="4" t="n">
        <v>102</v>
      </c>
      <c r="E4" s="4" t="n">
        <v>720</v>
      </c>
      <c r="F4" s="4" t="n">
        <v>380</v>
      </c>
      <c r="G4" s="4" t="n">
        <v>340</v>
      </c>
    </row>
    <row r="5" customFormat="false" ht="15" hidden="false" customHeight="true" outlineLevel="0" collapsed="false">
      <c r="A5" s="4" t="s">
        <v>66</v>
      </c>
      <c r="B5" s="4" t="s">
        <v>44</v>
      </c>
      <c r="C5" s="4" t="n">
        <v>157</v>
      </c>
      <c r="D5" s="4" t="n">
        <v>172</v>
      </c>
      <c r="E5" s="4" t="n">
        <v>1280</v>
      </c>
      <c r="F5" s="4" t="n">
        <v>680</v>
      </c>
      <c r="G5" s="4" t="n">
        <v>600</v>
      </c>
    </row>
    <row r="6" customFormat="false" ht="15" hidden="false" customHeight="true" outlineLevel="0" collapsed="false">
      <c r="A6" s="4" t="s">
        <v>67</v>
      </c>
      <c r="B6" s="4" t="s">
        <v>46</v>
      </c>
      <c r="C6" s="4" t="n">
        <v>158</v>
      </c>
      <c r="D6" s="4" t="n">
        <v>100</v>
      </c>
      <c r="E6" s="4" t="n">
        <v>850</v>
      </c>
      <c r="F6" s="4" t="n">
        <v>440</v>
      </c>
      <c r="G6" s="4" t="n">
        <v>410</v>
      </c>
    </row>
    <row r="7" customFormat="false" ht="15" hidden="false" customHeight="true" outlineLevel="0" collapsed="false">
      <c r="A7" s="4" t="s">
        <v>68</v>
      </c>
      <c r="B7" s="4" t="s">
        <v>46</v>
      </c>
      <c r="C7" s="4" t="n">
        <v>159</v>
      </c>
      <c r="D7" s="4" t="n">
        <v>10</v>
      </c>
      <c r="E7" s="4" t="n">
        <v>1450</v>
      </c>
      <c r="F7" s="4" t="n">
        <v>760</v>
      </c>
      <c r="G7" s="4" t="n">
        <v>690</v>
      </c>
    </row>
    <row r="8" customFormat="false" ht="15" hidden="false" customHeight="true" outlineLevel="0" collapsed="false">
      <c r="A8" s="4" t="s">
        <v>69</v>
      </c>
      <c r="B8" s="4" t="s">
        <v>47</v>
      </c>
      <c r="C8" s="4" t="n">
        <v>160</v>
      </c>
      <c r="D8" s="4" t="n">
        <v>12</v>
      </c>
      <c r="E8" s="4" t="n">
        <v>790</v>
      </c>
      <c r="F8" s="4" t="n">
        <v>420</v>
      </c>
      <c r="G8" s="4" t="n">
        <v>370</v>
      </c>
    </row>
    <row r="9" customFormat="false" ht="15" hidden="false" customHeight="true" outlineLevel="0" collapsed="false">
      <c r="A9" s="4" t="s">
        <v>70</v>
      </c>
      <c r="B9" s="4" t="s">
        <v>49</v>
      </c>
      <c r="C9" s="4" t="n">
        <v>161</v>
      </c>
      <c r="D9" s="4" t="n">
        <v>14</v>
      </c>
      <c r="E9" s="4" t="n">
        <v>1250</v>
      </c>
      <c r="F9" s="4" t="n">
        <v>670</v>
      </c>
      <c r="G9" s="4" t="n">
        <v>580</v>
      </c>
    </row>
    <row r="10" customFormat="false" ht="15" hidden="false" customHeight="true" outlineLevel="0" collapsed="false">
      <c r="A10" s="4" t="s">
        <v>71</v>
      </c>
      <c r="B10" s="4" t="s">
        <v>49</v>
      </c>
      <c r="C10" s="4" t="n">
        <v>162</v>
      </c>
      <c r="D10" s="4" t="n">
        <v>19</v>
      </c>
      <c r="E10" s="4" t="n">
        <v>920</v>
      </c>
      <c r="F10" s="4" t="n">
        <v>500</v>
      </c>
      <c r="G10" s="4" t="n">
        <v>420</v>
      </c>
    </row>
    <row r="11" customFormat="false" ht="15" hidden="false" customHeight="true" outlineLevel="0" collapsed="false">
      <c r="A11" s="4" t="s">
        <v>72</v>
      </c>
      <c r="B11" s="4" t="s">
        <v>50</v>
      </c>
      <c r="C11" s="4" t="n">
        <v>163</v>
      </c>
      <c r="D11" s="4" t="n">
        <v>454</v>
      </c>
      <c r="E11" s="4" t="n">
        <v>690</v>
      </c>
      <c r="F11" s="4" t="n">
        <v>360</v>
      </c>
      <c r="G11" s="4" t="n">
        <v>330</v>
      </c>
    </row>
    <row r="12" customFormat="false" ht="15" hidden="false" customHeight="true" outlineLevel="0" collapsed="false">
      <c r="A12" s="4" t="s">
        <v>73</v>
      </c>
      <c r="B12" s="4" t="s">
        <v>52</v>
      </c>
      <c r="C12" s="4" t="n">
        <v>164</v>
      </c>
      <c r="D12" s="4" t="n">
        <v>544</v>
      </c>
      <c r="E12" s="4" t="n">
        <f aca="false">F12+G12</f>
        <v>1128</v>
      </c>
      <c r="F12" s="4" t="n">
        <v>566</v>
      </c>
      <c r="G12" s="4" t="n">
        <v>562</v>
      </c>
    </row>
    <row r="13" customFormat="false" ht="15" hidden="false" customHeight="true" outlineLevel="0" collapsed="false">
      <c r="A13" s="4" t="s">
        <v>74</v>
      </c>
      <c r="B13" s="4" t="s">
        <v>52</v>
      </c>
      <c r="C13" s="4" t="n">
        <v>165</v>
      </c>
      <c r="D13" s="4" t="n">
        <v>30</v>
      </c>
      <c r="E13" s="4" t="n">
        <f aca="false">F13+G13</f>
        <v>843</v>
      </c>
      <c r="F13" s="4" t="n">
        <v>692</v>
      </c>
      <c r="G13" s="4" t="n">
        <v>151</v>
      </c>
    </row>
    <row r="14" customFormat="false" ht="15" hidden="false" customHeight="true" outlineLevel="0" collapsed="false">
      <c r="A14" s="4" t="s">
        <v>75</v>
      </c>
      <c r="B14" s="4" t="s">
        <v>53</v>
      </c>
      <c r="C14" s="4" t="n">
        <v>166</v>
      </c>
      <c r="D14" s="4" t="n">
        <v>29</v>
      </c>
      <c r="E14" s="4" t="n">
        <f aca="false">F14+G14</f>
        <v>597</v>
      </c>
      <c r="F14" s="4" t="n">
        <v>142</v>
      </c>
      <c r="G14" s="4" t="n">
        <v>455</v>
      </c>
    </row>
    <row r="15" customFormat="false" ht="15" hidden="false" customHeight="true" outlineLevel="0" collapsed="false">
      <c r="A15" s="4" t="s">
        <v>76</v>
      </c>
      <c r="B15" s="4" t="s">
        <v>55</v>
      </c>
      <c r="C15" s="4" t="n">
        <v>167</v>
      </c>
      <c r="D15" s="4" t="n">
        <v>50</v>
      </c>
      <c r="E15" s="4" t="n">
        <f aca="false">F15+G15</f>
        <v>1086</v>
      </c>
      <c r="F15" s="4" t="n">
        <v>520</v>
      </c>
      <c r="G15" s="4" t="n">
        <v>566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8.6796875" defaultRowHeight="15" zeroHeight="false" outlineLevelRow="0" outlineLevelCol="0"/>
  <sheetData>
    <row r="1" customFormat="false" ht="30" hidden="false" customHeight="true" outlineLevel="0" collapsed="false">
      <c r="A1" s="2" t="s">
        <v>77</v>
      </c>
      <c r="B1" s="2" t="s">
        <v>57</v>
      </c>
      <c r="C1" s="2" t="s">
        <v>78</v>
      </c>
      <c r="D1" s="2" t="s">
        <v>79</v>
      </c>
      <c r="E1" s="2" t="s">
        <v>80</v>
      </c>
    </row>
    <row r="2" customFormat="false" ht="15" hidden="false" customHeight="true" outlineLevel="0" collapsed="false">
      <c r="A2" s="4" t="s">
        <v>81</v>
      </c>
      <c r="B2" s="4" t="s">
        <v>63</v>
      </c>
      <c r="C2" s="4" t="n">
        <v>310</v>
      </c>
      <c r="D2" s="4" t="n">
        <v>250</v>
      </c>
      <c r="E2" s="4" t="n">
        <v>120</v>
      </c>
    </row>
    <row r="3" customFormat="false" ht="15" hidden="false" customHeight="true" outlineLevel="0" collapsed="false">
      <c r="A3" s="4" t="s">
        <v>82</v>
      </c>
      <c r="B3" s="4" t="s">
        <v>64</v>
      </c>
      <c r="C3" s="4" t="n">
        <v>280</v>
      </c>
      <c r="D3" s="4" t="n">
        <v>270</v>
      </c>
      <c r="E3" s="4" t="n">
        <v>100</v>
      </c>
    </row>
    <row r="4" customFormat="false" ht="15" hidden="false" customHeight="true" outlineLevel="0" collapsed="false">
      <c r="A4" s="4" t="s">
        <v>83</v>
      </c>
      <c r="B4" s="4" t="s">
        <v>65</v>
      </c>
      <c r="C4" s="4" t="n">
        <v>260</v>
      </c>
      <c r="D4" s="4" t="n">
        <v>300</v>
      </c>
      <c r="E4" s="4" t="n">
        <v>90</v>
      </c>
    </row>
    <row r="5" customFormat="false" ht="15" hidden="false" customHeight="true" outlineLevel="0" collapsed="false">
      <c r="A5" s="4" t="s">
        <v>84</v>
      </c>
      <c r="B5" s="4" t="s">
        <v>66</v>
      </c>
      <c r="C5" s="4" t="n">
        <v>190</v>
      </c>
      <c r="D5" s="4" t="n">
        <v>250</v>
      </c>
      <c r="E5" s="4" t="n">
        <v>80</v>
      </c>
    </row>
    <row r="6" customFormat="false" ht="15" hidden="false" customHeight="true" outlineLevel="0" collapsed="false">
      <c r="A6" s="4" t="s">
        <v>85</v>
      </c>
      <c r="B6" s="4" t="s">
        <v>67</v>
      </c>
      <c r="C6" s="4" t="n">
        <v>350</v>
      </c>
      <c r="D6" s="4" t="n">
        <v>300</v>
      </c>
      <c r="E6" s="4" t="n">
        <v>130</v>
      </c>
    </row>
    <row r="7" customFormat="false" ht="15" hidden="false" customHeight="true" outlineLevel="0" collapsed="false">
      <c r="A7" s="4" t="s">
        <v>86</v>
      </c>
      <c r="B7" s="4" t="s">
        <v>68</v>
      </c>
      <c r="C7" s="4" t="n">
        <v>280</v>
      </c>
      <c r="D7" s="4" t="n">
        <v>330</v>
      </c>
      <c r="E7" s="4" t="n">
        <v>100</v>
      </c>
    </row>
    <row r="8" customFormat="false" ht="15" hidden="false" customHeight="true" outlineLevel="0" collapsed="false">
      <c r="A8" s="4" t="s">
        <v>87</v>
      </c>
      <c r="B8" s="4" t="s">
        <v>69</v>
      </c>
      <c r="C8" s="4" t="n">
        <v>240</v>
      </c>
      <c r="D8" s="4" t="n">
        <v>260</v>
      </c>
      <c r="E8" s="4" t="n">
        <v>110</v>
      </c>
    </row>
    <row r="9" customFormat="false" ht="15" hidden="false" customHeight="true" outlineLevel="0" collapsed="false">
      <c r="A9" s="4" t="s">
        <v>88</v>
      </c>
      <c r="B9" s="4" t="s">
        <v>70</v>
      </c>
      <c r="C9" s="4" t="n">
        <v>420</v>
      </c>
      <c r="D9" s="4" t="n">
        <v>350</v>
      </c>
      <c r="E9" s="4" t="n">
        <v>140</v>
      </c>
    </row>
    <row r="10" customFormat="false" ht="15" hidden="false" customHeight="true" outlineLevel="0" collapsed="false">
      <c r="A10" s="4" t="s">
        <v>89</v>
      </c>
      <c r="B10" s="4" t="s">
        <v>71</v>
      </c>
      <c r="C10" s="4" t="n">
        <v>310</v>
      </c>
      <c r="D10" s="4" t="n">
        <v>330</v>
      </c>
      <c r="E10" s="4" t="n">
        <v>120</v>
      </c>
    </row>
    <row r="11" customFormat="false" ht="15" hidden="false" customHeight="true" outlineLevel="0" collapsed="false">
      <c r="A11" s="4" t="s">
        <v>90</v>
      </c>
      <c r="B11" s="4" t="s">
        <v>72</v>
      </c>
      <c r="C11" s="4" t="n">
        <v>220</v>
      </c>
      <c r="D11" s="4" t="n">
        <v>280</v>
      </c>
      <c r="E11" s="4" t="n">
        <v>90</v>
      </c>
    </row>
    <row r="12" customFormat="false" ht="15" hidden="false" customHeight="true" outlineLevel="0" collapsed="false">
      <c r="A12" s="4" t="s">
        <v>91</v>
      </c>
      <c r="B12" s="4" t="s">
        <v>73</v>
      </c>
      <c r="C12" s="4" t="n">
        <v>390</v>
      </c>
      <c r="D12" s="4" t="n">
        <v>320</v>
      </c>
      <c r="E12" s="4" t="n">
        <v>110</v>
      </c>
    </row>
    <row r="13" customFormat="false" ht="15" hidden="false" customHeight="true" outlineLevel="0" collapsed="false">
      <c r="A13" s="4" t="s">
        <v>92</v>
      </c>
      <c r="B13" s="4" t="s">
        <v>74</v>
      </c>
      <c r="C13" s="4" t="n">
        <v>270</v>
      </c>
      <c r="D13" s="4" t="n">
        <v>290</v>
      </c>
      <c r="E13" s="4" t="n">
        <v>100</v>
      </c>
    </row>
    <row r="14" customFormat="false" ht="15" hidden="false" customHeight="true" outlineLevel="0" collapsed="false">
      <c r="A14" s="4" t="s">
        <v>93</v>
      </c>
      <c r="B14" s="4" t="s">
        <v>75</v>
      </c>
      <c r="C14" s="4" t="n">
        <v>250</v>
      </c>
      <c r="D14" s="4" t="n">
        <v>260</v>
      </c>
      <c r="E14" s="4" t="n">
        <v>80</v>
      </c>
    </row>
    <row r="15" customFormat="false" ht="15" hidden="false" customHeight="true" outlineLevel="0" collapsed="false">
      <c r="A15" s="4" t="s">
        <v>94</v>
      </c>
      <c r="B15" s="4" t="s">
        <v>76</v>
      </c>
      <c r="C15" s="4" t="n">
        <v>180</v>
      </c>
      <c r="D15" s="4" t="n">
        <v>220</v>
      </c>
      <c r="E15" s="4" t="n">
        <v>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0" activeCellId="0" sqref="A20"/>
    </sheetView>
  </sheetViews>
  <sheetFormatPr defaultColWidth="8.6796875" defaultRowHeight="15" zeroHeight="false" outlineLevelRow="0" outlineLevelCol="0"/>
  <sheetData>
    <row r="1" customFormat="false" ht="30" hidden="false" customHeight="true" outlineLevel="0" collapsed="false">
      <c r="A1" s="2" t="s">
        <v>95</v>
      </c>
      <c r="B1" s="2" t="s">
        <v>39</v>
      </c>
      <c r="C1" s="2" t="s">
        <v>96</v>
      </c>
      <c r="D1" s="2" t="s">
        <v>97</v>
      </c>
      <c r="E1" s="2" t="s">
        <v>98</v>
      </c>
    </row>
    <row r="2" customFormat="false" ht="15" hidden="false" customHeight="true" outlineLevel="0" collapsed="false">
      <c r="A2" s="4" t="s">
        <v>99</v>
      </c>
      <c r="B2" s="4" t="s">
        <v>41</v>
      </c>
      <c r="C2" s="4" t="s">
        <v>100</v>
      </c>
      <c r="D2" s="4" t="s">
        <v>101</v>
      </c>
      <c r="E2" s="4" t="n">
        <v>240</v>
      </c>
    </row>
    <row r="3" customFormat="false" ht="15" hidden="false" customHeight="true" outlineLevel="0" collapsed="false">
      <c r="A3" s="4" t="s">
        <v>102</v>
      </c>
      <c r="B3" s="4" t="s">
        <v>41</v>
      </c>
      <c r="C3" s="4" t="s">
        <v>100</v>
      </c>
      <c r="D3" s="4" t="s">
        <v>103</v>
      </c>
      <c r="E3" s="4" t="n">
        <v>140</v>
      </c>
    </row>
    <row r="4" customFormat="false" ht="15" hidden="false" customHeight="true" outlineLevel="0" collapsed="false">
      <c r="A4" s="4" t="s">
        <v>104</v>
      </c>
      <c r="B4" s="4" t="s">
        <v>41</v>
      </c>
      <c r="C4" s="4" t="s">
        <v>100</v>
      </c>
      <c r="D4" s="4" t="s">
        <v>105</v>
      </c>
      <c r="E4" s="4" t="n">
        <v>120</v>
      </c>
    </row>
    <row r="5" customFormat="false" ht="15" hidden="false" customHeight="true" outlineLevel="0" collapsed="false">
      <c r="A5" s="4" t="s">
        <v>106</v>
      </c>
      <c r="B5" s="4" t="s">
        <v>41</v>
      </c>
      <c r="C5" s="4" t="s">
        <v>100</v>
      </c>
      <c r="D5" s="4" t="s">
        <v>107</v>
      </c>
      <c r="E5" s="4" t="n">
        <v>160</v>
      </c>
    </row>
    <row r="6" customFormat="false" ht="15" hidden="false" customHeight="true" outlineLevel="0" collapsed="false">
      <c r="A6" s="4" t="s">
        <v>108</v>
      </c>
      <c r="B6" s="4" t="s">
        <v>41</v>
      </c>
      <c r="C6" s="4" t="s">
        <v>109</v>
      </c>
      <c r="D6" s="4" t="s">
        <v>110</v>
      </c>
      <c r="E6" s="4" t="n">
        <v>85</v>
      </c>
    </row>
    <row r="7" customFormat="false" ht="15" hidden="false" customHeight="true" outlineLevel="0" collapsed="false">
      <c r="A7" s="4" t="s">
        <v>111</v>
      </c>
      <c r="B7" s="4" t="s">
        <v>41</v>
      </c>
      <c r="C7" s="4" t="s">
        <v>109</v>
      </c>
      <c r="D7" s="4" t="s">
        <v>112</v>
      </c>
      <c r="E7" s="4" t="n">
        <v>60</v>
      </c>
    </row>
    <row r="8" customFormat="false" ht="15" hidden="false" customHeight="true" outlineLevel="0" collapsed="false">
      <c r="A8" s="4" t="s">
        <v>113</v>
      </c>
      <c r="B8" s="4" t="s">
        <v>46</v>
      </c>
      <c r="C8" s="4" t="s">
        <v>100</v>
      </c>
      <c r="D8" s="4" t="s">
        <v>114</v>
      </c>
      <c r="E8" s="4" t="n">
        <v>270</v>
      </c>
    </row>
    <row r="9" customFormat="false" ht="15" hidden="false" customHeight="true" outlineLevel="0" collapsed="false">
      <c r="A9" s="4" t="s">
        <v>115</v>
      </c>
      <c r="B9" s="4" t="s">
        <v>46</v>
      </c>
      <c r="C9" s="4" t="s">
        <v>100</v>
      </c>
      <c r="D9" s="4" t="s">
        <v>101</v>
      </c>
      <c r="E9" s="4" t="n">
        <v>210</v>
      </c>
    </row>
    <row r="10" customFormat="false" ht="15" hidden="false" customHeight="true" outlineLevel="0" collapsed="false">
      <c r="A10" s="4" t="s">
        <v>116</v>
      </c>
      <c r="B10" s="4" t="s">
        <v>46</v>
      </c>
      <c r="C10" s="4" t="s">
        <v>100</v>
      </c>
      <c r="D10" s="4" t="s">
        <v>103</v>
      </c>
      <c r="E10" s="4" t="n">
        <v>140</v>
      </c>
    </row>
    <row r="11" customFormat="false" ht="15" hidden="false" customHeight="true" outlineLevel="0" collapsed="false">
      <c r="A11" s="4" t="s">
        <v>117</v>
      </c>
      <c r="B11" s="4" t="s">
        <v>46</v>
      </c>
      <c r="C11" s="4" t="s">
        <v>109</v>
      </c>
      <c r="D11" s="4" t="s">
        <v>110</v>
      </c>
      <c r="E11" s="4" t="n">
        <v>120</v>
      </c>
    </row>
    <row r="12" customFormat="false" ht="15" hidden="false" customHeight="true" outlineLevel="0" collapsed="false">
      <c r="A12" s="4" t="s">
        <v>118</v>
      </c>
      <c r="B12" s="4" t="s">
        <v>49</v>
      </c>
      <c r="C12" s="4" t="s">
        <v>100</v>
      </c>
      <c r="D12" s="4" t="s">
        <v>107</v>
      </c>
      <c r="E12" s="4" t="n">
        <v>290</v>
      </c>
    </row>
    <row r="13" customFormat="false" ht="15" hidden="false" customHeight="true" outlineLevel="0" collapsed="false">
      <c r="A13" s="4" t="s">
        <v>119</v>
      </c>
      <c r="B13" s="4" t="s">
        <v>49</v>
      </c>
      <c r="C13" s="4" t="s">
        <v>100</v>
      </c>
      <c r="D13" s="4" t="s">
        <v>105</v>
      </c>
      <c r="E13" s="4" t="n">
        <v>180</v>
      </c>
    </row>
    <row r="14" customFormat="false" ht="15" hidden="false" customHeight="true" outlineLevel="0" collapsed="false">
      <c r="A14" s="4" t="s">
        <v>120</v>
      </c>
      <c r="B14" s="4" t="s">
        <v>49</v>
      </c>
      <c r="C14" s="4" t="s">
        <v>100</v>
      </c>
      <c r="D14" s="4" t="s">
        <v>103</v>
      </c>
      <c r="E14" s="4" t="n">
        <v>160</v>
      </c>
    </row>
    <row r="15" customFormat="false" ht="15" hidden="false" customHeight="true" outlineLevel="0" collapsed="false">
      <c r="A15" s="4" t="s">
        <v>121</v>
      </c>
      <c r="B15" s="4" t="s">
        <v>49</v>
      </c>
      <c r="C15" s="4" t="s">
        <v>109</v>
      </c>
      <c r="D15" s="4" t="s">
        <v>110</v>
      </c>
      <c r="E15" s="4" t="n">
        <v>140</v>
      </c>
    </row>
    <row r="16" customFormat="false" ht="15" hidden="false" customHeight="true" outlineLevel="0" collapsed="false">
      <c r="A16" s="4" t="s">
        <v>122</v>
      </c>
      <c r="B16" s="4" t="s">
        <v>43</v>
      </c>
      <c r="C16" s="4" t="s">
        <v>100</v>
      </c>
      <c r="D16" s="4" t="s">
        <v>123</v>
      </c>
      <c r="E16" s="4" t="n">
        <v>200</v>
      </c>
    </row>
    <row r="17" customFormat="false" ht="15" hidden="false" customHeight="true" outlineLevel="0" collapsed="false">
      <c r="A17" s="4" t="s">
        <v>124</v>
      </c>
      <c r="B17" s="4" t="s">
        <v>43</v>
      </c>
      <c r="C17" s="4" t="s">
        <v>100</v>
      </c>
      <c r="D17" s="4" t="s">
        <v>125</v>
      </c>
      <c r="E17" s="4" t="n">
        <v>100</v>
      </c>
    </row>
    <row r="18" customFormat="false" ht="15" hidden="false" customHeight="true" outlineLevel="0" collapsed="false">
      <c r="A18" s="4" t="s">
        <v>126</v>
      </c>
      <c r="B18" s="4" t="s">
        <v>43</v>
      </c>
      <c r="C18" s="4" t="s">
        <v>100</v>
      </c>
      <c r="D18" s="4" t="s">
        <v>107</v>
      </c>
      <c r="E18" s="4" t="n">
        <v>400</v>
      </c>
    </row>
    <row r="19" customFormat="false" ht="15" hidden="false" customHeight="true" outlineLevel="0" collapsed="false">
      <c r="A19" s="4" t="s">
        <v>127</v>
      </c>
      <c r="B19" s="4" t="s">
        <v>43</v>
      </c>
      <c r="C19" s="4" t="s">
        <v>109</v>
      </c>
      <c r="D19" s="4" t="s">
        <v>110</v>
      </c>
      <c r="E19" s="4" t="n">
        <v>300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8.6796875" defaultRowHeight="15" zeroHeight="false" outlineLevelRow="0" outlineLevelCol="0"/>
  <cols>
    <col collapsed="false" customWidth="true" hidden="false" outlineLevel="0" max="5" min="5" style="1" width="11"/>
    <col collapsed="false" customWidth="true" hidden="false" outlineLevel="0" max="6" min="6" style="1" width="25.57"/>
  </cols>
  <sheetData>
    <row r="1" customFormat="false" ht="30" hidden="false" customHeight="true" outlineLevel="0" collapsed="false">
      <c r="A1" s="2" t="s">
        <v>128</v>
      </c>
      <c r="B1" s="2" t="s">
        <v>39</v>
      </c>
      <c r="C1" s="2" t="s">
        <v>129</v>
      </c>
      <c r="D1" s="2" t="s">
        <v>130</v>
      </c>
      <c r="E1" s="2" t="s">
        <v>131</v>
      </c>
      <c r="F1" s="2" t="s">
        <v>132</v>
      </c>
    </row>
    <row r="2" customFormat="false" ht="30" hidden="false" customHeight="true" outlineLevel="0" collapsed="false">
      <c r="A2" s="4" t="s">
        <v>133</v>
      </c>
      <c r="B2" s="4" t="s">
        <v>41</v>
      </c>
      <c r="C2" s="4" t="s">
        <v>134</v>
      </c>
      <c r="D2" s="4" t="s">
        <v>135</v>
      </c>
      <c r="E2" s="4" t="s">
        <v>136</v>
      </c>
      <c r="F2" s="4" t="s">
        <v>137</v>
      </c>
      <c r="G2" s="4"/>
    </row>
    <row r="3" customFormat="false" ht="30" hidden="false" customHeight="true" outlineLevel="0" collapsed="false">
      <c r="A3" s="4" t="s">
        <v>138</v>
      </c>
      <c r="B3" s="4" t="s">
        <v>43</v>
      </c>
      <c r="C3" s="4" t="s">
        <v>139</v>
      </c>
      <c r="D3" s="4" t="s">
        <v>140</v>
      </c>
      <c r="E3" s="4" t="s">
        <v>141</v>
      </c>
      <c r="F3" s="4" t="s">
        <v>142</v>
      </c>
    </row>
    <row r="4" customFormat="false" ht="30" hidden="false" customHeight="true" outlineLevel="0" collapsed="false">
      <c r="A4" s="4" t="s">
        <v>143</v>
      </c>
      <c r="B4" s="4" t="s">
        <v>44</v>
      </c>
      <c r="C4" s="4" t="s">
        <v>144</v>
      </c>
      <c r="D4" s="4" t="s">
        <v>145</v>
      </c>
      <c r="E4" s="4" t="s">
        <v>146</v>
      </c>
      <c r="F4" s="4" t="s">
        <v>147</v>
      </c>
    </row>
    <row r="5" customFormat="false" ht="30" hidden="false" customHeight="true" outlineLevel="0" collapsed="false">
      <c r="A5" s="4" t="s">
        <v>148</v>
      </c>
      <c r="B5" s="4" t="s">
        <v>46</v>
      </c>
      <c r="C5" s="4" t="s">
        <v>149</v>
      </c>
      <c r="D5" s="4" t="s">
        <v>135</v>
      </c>
      <c r="E5" s="4" t="s">
        <v>150</v>
      </c>
      <c r="F5" s="4" t="s">
        <v>142</v>
      </c>
    </row>
    <row r="6" customFormat="false" ht="30" hidden="false" customHeight="true" outlineLevel="0" collapsed="false">
      <c r="A6" s="4" t="s">
        <v>151</v>
      </c>
      <c r="B6" s="4" t="s">
        <v>47</v>
      </c>
      <c r="C6" s="4" t="s">
        <v>152</v>
      </c>
      <c r="D6" s="4" t="s">
        <v>153</v>
      </c>
      <c r="E6" s="4" t="s">
        <v>154</v>
      </c>
      <c r="F6" s="4" t="s">
        <v>147</v>
      </c>
      <c r="I6" s="1" t="str">
        <f aca="false">IFERROR(INDEX(A$2:A$7, SMALL(IF($B$2:$B$7=$G$2, ROW($B$2:$B$7)-ROW($B$2)+1), ROW(2:2))), "")</f>
        <v/>
      </c>
      <c r="J6" s="1" t="str">
        <f aca="false">IFERROR(INDEX(B$2:B$7, SMALL(IF($B$2:$B$7=$G$2, ROW($B$2:$B$7)-ROW($B$2)+1), ROW(2:2))), "")</f>
        <v/>
      </c>
      <c r="K6" s="1" t="str">
        <f aca="false">IFERROR(INDEX(C$2:C$7, SMALL(IF($B$2:$B$7=$G$2, ROW($B$2:$B$7)-ROW($B$2)+1), ROW(2:2))), "")</f>
        <v/>
      </c>
      <c r="L6" s="1" t="str">
        <f aca="false">IFERROR(INDEX(D$2:D$7, SMALL(IF($B$2:$B$7=$G$2, ROW($B$2:$B$7)-ROW($B$2)+1), ROW(2:2))), "")</f>
        <v/>
      </c>
      <c r="M6" s="1" t="str">
        <f aca="false">IFERROR(INDEX(E$2:E$7, SMALL(IF($B$2:$B$7=$G$2, ROW($B$2:$B$7)-ROW($B$2)+1), ROW(2:2))), "")</f>
        <v/>
      </c>
      <c r="N6" s="1" t="str">
        <f aca="false">IFERROR(INDEX(F$2:F$7, SMALL(IF($B$2:$B$7=$G$2, ROW($B$2:$B$7)-ROW($B$2)+1), ROW(2:2))), "")</f>
        <v/>
      </c>
    </row>
    <row r="7" customFormat="false" ht="30" hidden="false" customHeight="true" outlineLevel="0" collapsed="false">
      <c r="A7" s="4" t="s">
        <v>155</v>
      </c>
      <c r="B7" s="4" t="s">
        <v>41</v>
      </c>
      <c r="C7" s="4" t="s">
        <v>156</v>
      </c>
      <c r="D7" s="4" t="s">
        <v>157</v>
      </c>
      <c r="E7" s="4" t="s">
        <v>158</v>
      </c>
      <c r="F7" s="4" t="s">
        <v>137</v>
      </c>
      <c r="I7" s="1" t="str">
        <f aca="false">IFERROR(INDEX(A$2:A$7, SMALL(IF($B$2:$B$7=$G$2, ROW($B$2:$B$7)-ROW($B$2)+1), ROW(3:3))), "")</f>
        <v/>
      </c>
      <c r="J7" s="1" t="str">
        <f aca="false">IFERROR(INDEX(B$2:B$7, SMALL(IF($B$2:$B$7=$G$2, ROW($B$2:$B$7)-ROW($B$2)+1), ROW(3:3))), "")</f>
        <v/>
      </c>
      <c r="K7" s="1" t="str">
        <f aca="false">IFERROR(INDEX(C$2:C$7, SMALL(IF($B$2:$B$7=$G$2, ROW($B$2:$B$7)-ROW($B$2)+1), ROW(3:3))), "")</f>
        <v/>
      </c>
      <c r="L7" s="1" t="str">
        <f aca="false">IFERROR(INDEX(D$2:D$7, SMALL(IF($B$2:$B$7=$G$2, ROW($B$2:$B$7)-ROW($B$2)+1), ROW(3:3))), "")</f>
        <v/>
      </c>
      <c r="M7" s="1" t="str">
        <f aca="false">IFERROR(INDEX(E$2:E$7, SMALL(IF($B$2:$B$7=$G$2, ROW($B$2:$B$7)-ROW($B$2)+1), ROW(3:3))), "")</f>
        <v/>
      </c>
      <c r="N7" s="1" t="str">
        <f aca="false">IFERROR(INDEX(F$2:F$7, SMALL(IF($B$2:$B$7=$G$2, ROW($B$2:$B$7)-ROW($B$2)+1), ROW(3:3))), "")</f>
        <v/>
      </c>
    </row>
    <row r="8" customFormat="false" ht="45" hidden="false" customHeight="true" outlineLevel="0" collapsed="false">
      <c r="A8" s="4" t="s">
        <v>159</v>
      </c>
      <c r="B8" s="4" t="s">
        <v>41</v>
      </c>
      <c r="C8" s="4" t="s">
        <v>160</v>
      </c>
      <c r="D8" s="4" t="s">
        <v>161</v>
      </c>
      <c r="E8" s="1" t="n">
        <v>9900</v>
      </c>
      <c r="F8" s="4" t="s">
        <v>137</v>
      </c>
      <c r="I8" s="1" t="str">
        <f aca="false">IFERROR(INDEX(A$2:A$7, SMALL(IF($B$2:$B$7=$G$2, ROW($B$2:$B$7)-ROW($B$2)+1), ROW(4:4))), "")</f>
        <v/>
      </c>
      <c r="J8" s="1" t="str">
        <f aca="false">IFERROR(INDEX(B$2:B$7, SMALL(IF($B$2:$B$7=$G$2, ROW($B$2:$B$7)-ROW($B$2)+1), ROW(4:4))), "")</f>
        <v/>
      </c>
      <c r="K8" s="1" t="str">
        <f aca="false">IFERROR(INDEX(C$2:C$7, SMALL(IF($B$2:$B$7=$G$2, ROW($B$2:$B$7)-ROW($B$2)+1), ROW(4:4))), "")</f>
        <v/>
      </c>
      <c r="L8" s="1" t="str">
        <f aca="false">IFERROR(INDEX(D$2:D$7, SMALL(IF($B$2:$B$7=$G$2, ROW($B$2:$B$7)-ROW($B$2)+1), ROW(4:4))), "")</f>
        <v/>
      </c>
      <c r="M8" s="1" t="str">
        <f aca="false">IFERROR(INDEX(E$2:E$7, SMALL(IF($B$2:$B$7=$G$2, ROW($B$2:$B$7)-ROW($B$2)+1), ROW(4:4))), "")</f>
        <v/>
      </c>
      <c r="N8" s="1" t="str">
        <f aca="false">IFERROR(INDEX(F$2:F$7, SMALL(IF($B$2:$B$7=$G$2, ROW($B$2:$B$7)-ROW($B$2)+1), ROW(4:4))), "")</f>
        <v/>
      </c>
    </row>
    <row r="9" customFormat="false" ht="30" hidden="false" customHeight="true" outlineLevel="0" collapsed="false">
      <c r="A9" s="4" t="s">
        <v>162</v>
      </c>
      <c r="B9" s="4" t="s">
        <v>52</v>
      </c>
      <c r="C9" s="4" t="s">
        <v>163</v>
      </c>
      <c r="D9" s="4" t="s">
        <v>164</v>
      </c>
      <c r="E9" s="1" t="n">
        <v>4455</v>
      </c>
      <c r="F9" s="4" t="s">
        <v>142</v>
      </c>
      <c r="I9" s="1" t="str">
        <f aca="false">IFERROR(INDEX(A$2:A$7, SMALL(IF($B$2:$B$7=$G$2, ROW($B$2:$B$7)-ROW($B$2)+1), ROW(5:5))), "")</f>
        <v/>
      </c>
      <c r="J9" s="1" t="str">
        <f aca="false">IFERROR(INDEX(B$2:B$7, SMALL(IF($B$2:$B$7=$G$2, ROW($B$2:$B$7)-ROW($B$2)+1), ROW(5:5))), "")</f>
        <v/>
      </c>
      <c r="K9" s="1" t="str">
        <f aca="false">IFERROR(INDEX(C$2:C$7, SMALL(IF($B$2:$B$7=$G$2, ROW($B$2:$B$7)-ROW($B$2)+1), ROW(5:5))), "")</f>
        <v/>
      </c>
      <c r="L9" s="1" t="str">
        <f aca="false">IFERROR(INDEX(D$2:D$7, SMALL(IF($B$2:$B$7=$G$2, ROW($B$2:$B$7)-ROW($B$2)+1), ROW(5:5))), "")</f>
        <v/>
      </c>
      <c r="M9" s="1" t="str">
        <f aca="false">IFERROR(INDEX(E$2:E$7, SMALL(IF($B$2:$B$7=$G$2, ROW($B$2:$B$7)-ROW($B$2)+1), ROW(5:5))), "")</f>
        <v/>
      </c>
      <c r="N9" s="1" t="str">
        <f aca="false">IFERROR(INDEX(F$2:F$7, SMALL(IF($B$2:$B$7=$G$2, ROW($B$2:$B$7)-ROW($B$2)+1), ROW(5:5))), "")</f>
        <v/>
      </c>
    </row>
    <row r="10" customFormat="false" ht="15" hidden="false" customHeight="true" outlineLevel="0" collapsed="false">
      <c r="A10" s="4" t="s">
        <v>165</v>
      </c>
      <c r="B10" s="4" t="s">
        <v>53</v>
      </c>
      <c r="C10" s="4" t="s">
        <v>166</v>
      </c>
      <c r="D10" s="4" t="s">
        <v>167</v>
      </c>
      <c r="E10" s="1" t="n">
        <v>89990</v>
      </c>
      <c r="F10" s="4" t="s">
        <v>168</v>
      </c>
    </row>
    <row r="11" customFormat="false" ht="30" hidden="false" customHeight="true" outlineLevel="0" collapsed="false">
      <c r="A11" s="4" t="s">
        <v>169</v>
      </c>
      <c r="B11" s="4" t="s">
        <v>41</v>
      </c>
      <c r="C11" s="4" t="s">
        <v>134</v>
      </c>
      <c r="D11" s="4" t="s">
        <v>140</v>
      </c>
      <c r="E11" s="1" t="n">
        <v>9958548265</v>
      </c>
      <c r="F11" s="4" t="s">
        <v>137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94" zoomScaleNormal="94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.29"/>
    <col collapsed="false" customWidth="true" hidden="false" outlineLevel="0" max="3" min="2" style="1" width="26.57"/>
    <col collapsed="false" customWidth="true" hidden="false" outlineLevel="0" max="4" min="4" style="1" width="11.85"/>
    <col collapsed="false" customWidth="true" hidden="false" outlineLevel="0" max="5" min="5" style="1" width="17.86"/>
    <col collapsed="false" customWidth="true" hidden="false" outlineLevel="0" max="7" min="7" style="1" width="15"/>
    <col collapsed="false" customWidth="true" hidden="false" outlineLevel="0" max="8" min="8" style="1" width="15.71"/>
    <col collapsed="false" customWidth="true" hidden="false" outlineLevel="0" max="9" min="9" style="1" width="11.71"/>
    <col collapsed="false" customWidth="true" hidden="false" outlineLevel="0" max="10" min="10" style="1" width="10.57"/>
  </cols>
  <sheetData>
    <row r="1" customFormat="false" ht="24.75" hidden="false" customHeight="true" outlineLevel="0" collapsed="false">
      <c r="A1" s="4" t="s">
        <v>170</v>
      </c>
      <c r="B1" s="4" t="str">
        <f aca="false">B23</f>
        <v>V002</v>
      </c>
      <c r="C1" s="4" t="s">
        <v>12</v>
      </c>
      <c r="D1" s="4"/>
      <c r="E1" s="4"/>
      <c r="F1" s="4"/>
      <c r="G1" s="6" t="s">
        <v>171</v>
      </c>
      <c r="H1" s="7" t="str">
        <f aca="false">IFERROR(INDEX(Gram_Panchayat_Master!$B:$B,MATCH($B$24,Gram_Panchayat_Master!$A:$A,0)),"")</f>
        <v>Uganpur</v>
      </c>
      <c r="I1" s="8" t="s">
        <v>172</v>
      </c>
      <c r="J1" s="9"/>
      <c r="K1" s="9" t="s">
        <v>173</v>
      </c>
      <c r="L1" s="9"/>
      <c r="M1" s="10" t="s">
        <v>174</v>
      </c>
    </row>
    <row r="2" customFormat="false" ht="21.75" hidden="false" customHeight="true" outlineLevel="0" collapsed="false">
      <c r="A2" s="11" t="s">
        <v>128</v>
      </c>
      <c r="B2" s="11" t="s">
        <v>129</v>
      </c>
      <c r="C2" s="11" t="s">
        <v>130</v>
      </c>
      <c r="D2" s="11" t="s">
        <v>131</v>
      </c>
      <c r="E2" s="11" t="s">
        <v>175</v>
      </c>
      <c r="F2" s="4"/>
      <c r="G2" s="12" t="s">
        <v>2</v>
      </c>
      <c r="H2" s="7" t="str">
        <f aca="false">IFERROR(INDEX(Gram_Panchayat_Master!$C:$C,MATCH($B$24,Gram_Panchayat_Master!$A:$A,0)),"")</f>
        <v>Bithri Chainpur</v>
      </c>
      <c r="I2" s="13" t="str">
        <f aca="false">IFERROR(INDEX(Village_Master!$C:$C,_xlfn.AGGREGATE(15,6,ROW(Village_Master!$B$2:$B$200)/(Village_Master!$B$2:$B$200=$B$24),ROWS($I$2:I2))),"")</f>
        <v>Kacholi</v>
      </c>
      <c r="J2" s="14" t="s">
        <v>176</v>
      </c>
      <c r="K2" s="11" t="n">
        <f aca="false">SUMPRODUCT((Caste_Data!$B$2:$B$200=$B$23)*(Caste_Data!$C$2:$C$200="Hindu")*(Caste_Data!$E$2:$E$200))</f>
        <v>700</v>
      </c>
      <c r="L2" s="11" t="s">
        <v>177</v>
      </c>
      <c r="M2" s="6" t="n">
        <f aca="false">SUMPRODUCT((Caste_Data!$B$2:$B$200=$B$23)*(Caste_Data!$C$2:$C$200="Muslim")*(Caste_Data!$E$2:$E$200))</f>
        <v>300</v>
      </c>
    </row>
    <row r="3" customFormat="false" ht="15" hidden="false" customHeight="true" outlineLevel="0" collapsed="false">
      <c r="A3" s="6" t="str">
        <f aca="false">IFERROR(INDEX(Influential_Persons!$A:$A,_xlfn.AGGREGATE(15,6,ROW(Influential_Persons!$B$2:$B$200)/(Influential_Persons!$B$2:$B$200=$B$23),ROWS($A$3:A3))),"")</f>
        <v>P002</v>
      </c>
      <c r="B3" s="6" t="str">
        <f aca="false">IF($A3="","",INDEX(Influential_Persons!$C:$C,MATCH($A3,Influential_Persons!$A:$A,0)))</f>
        <v>Mohan Singh</v>
      </c>
      <c r="C3" s="6" t="str">
        <f aca="false">IF($A3="","",INDEX(Influential_Persons!$D:$D,MATCH($A3,Influential_Persons!$A:$A,0)))</f>
        <v>Former Pradhan</v>
      </c>
      <c r="D3" s="6" t="str">
        <f aca="false">IF($A3="","",INDEX(Influential_Persons!$E:$E,MATCH($A3,Influential_Persons!$A:$A,0)))</f>
        <v>98XXXXXX02</v>
      </c>
      <c r="E3" s="6" t="str">
        <f aca="false">IF($A3="","",INDEX(Influential_Persons!$F:$F,MATCH($A3,Influential_Persons!$A:$A,0)))</f>
        <v>SP</v>
      </c>
      <c r="G3" s="6" t="s">
        <v>3</v>
      </c>
      <c r="H3" s="7" t="str">
        <f aca="false">IFERROR(INDEX(Gram_Panchayat_Master!$D:$D,MATCH($B$24,Gram_Panchayat_Master!$A:$A,0)),"")</f>
        <v>Nawabganj</v>
      </c>
      <c r="I3" s="13" t="str">
        <f aca="false">IFERROR(INDEX(Village_Master!$C:$C,_xlfn.AGGREGATE(15,6,ROW(Village_Master!$B$2:$B$200)/(Village_Master!$B$2:$B$200=$B$24),ROWS($I$2:I3))),"")</f>
        <v>Uganpur</v>
      </c>
      <c r="J3" s="15" t="str">
        <f aca="false">IFERROR(INDEX(Caste_Data!$D:$D,_xlfn.AGGREGATE(15,6,ROW(Caste_Data!$B$2:$B$200)/((Caste_Data!$B$2:$B$200=$B$23)*(Caste_Data!$C$2:$C$200="Hindu")),ROWS($J$3:J3))),"")</f>
        <v>Prajapati</v>
      </c>
      <c r="K3" s="6"/>
      <c r="L3" s="6" t="str">
        <f aca="false">IFERROR(INDEX(Caste_Data!$D:$D,_xlfn.AGGREGATE(15,6,ROW(Caste_Data!$B$2:$B$200)/((Caste_Data!$B$2:$B$200=$B$23)*(Caste_Data!$C$2:$C$200="Muslim")),ROWS($L$3:L3))),"")</f>
        <v>Ansari</v>
      </c>
      <c r="M3" s="6"/>
    </row>
    <row r="4" customFormat="false" ht="15" hidden="false" customHeight="true" outlineLevel="0" collapsed="false">
      <c r="A4" s="6" t="str">
        <f aca="false">IFERROR(INDEX(Influential_Persons!$A:$A,_xlfn.AGGREGATE(15,6,ROW(Influential_Persons!$B$2:$B$200)/(Influential_Persons!$B$2:$B$200=$B$23),ROWS($A$3:A4))),"")</f>
        <v/>
      </c>
      <c r="B4" s="6" t="str">
        <f aca="false">IF($A4="","",INDEX(Influential_Persons!$C:$C,MATCH($A4,Influential_Persons!$A:$A,0)))</f>
        <v/>
      </c>
      <c r="C4" s="6" t="str">
        <f aca="false">IF($A4="","",INDEX(Influential_Persons!$D:$D,MATCH($A4,Influential_Persons!$A:$A,0)))</f>
        <v/>
      </c>
      <c r="D4" s="6" t="str">
        <f aca="false">IF($A4="","",INDEX(Influential_Persons!$E:$E,MATCH($A4,Influential_Persons!$A:$A,0)))</f>
        <v/>
      </c>
      <c r="E4" s="6" t="str">
        <f aca="false">IF($A4="","",INDEX(Influential_Persons!$F:$F,MATCH($A4,Influential_Persons!$A:$A,0)))</f>
        <v/>
      </c>
      <c r="G4" s="6" t="s">
        <v>178</v>
      </c>
      <c r="H4" s="7" t="str">
        <f aca="false">IFERROR(INDEX(Gram_Panchayat_Master!$F:$F,MATCH($B$24,Gram_Panchayat_Master!$A:$A,0)),"")</f>
        <v>Bhojipura</v>
      </c>
      <c r="I4" s="13" t="str">
        <f aca="false">IFERROR(INDEX(Village_Master!$C:$C,_xlfn.AGGREGATE(15,6,ROW(Village_Master!$B$2:$B$200)/(Village_Master!$B$2:$B$200=$B$24),ROWS($I$2:I4))),"")</f>
        <v>Rampur</v>
      </c>
      <c r="J4" s="15" t="str">
        <f aca="false">IFERROR(INDEX(Caste_Data!$D:$D,_xlfn.AGGREGATE(15,6,ROW(Caste_Data!$B$2:$B$200)/((Caste_Data!$B$2:$B$200=$B$23)*(Caste_Data!$C$2:$C$200="Hindu")),ROWS($J$3:J4))),"")</f>
        <v>Varma</v>
      </c>
      <c r="K4" s="6"/>
      <c r="L4" s="6" t="str">
        <f aca="false">IFERROR(INDEX(Caste_Data!$D:$D,_xlfn.AGGREGATE(15,6,ROW(Caste_Data!$B$2:$B$200)/((Caste_Data!$B$2:$B$200=$B$23)*(Caste_Data!$C$2:$C$200="Muslim")),ROWS($L$3:L4))),"")</f>
        <v/>
      </c>
      <c r="M4" s="6"/>
    </row>
    <row r="5" customFormat="false" ht="15" hidden="false" customHeight="true" outlineLevel="0" collapsed="false">
      <c r="A5" s="6" t="str">
        <f aca="false">IFERROR(INDEX(Influential_Persons!$A:$A,_xlfn.AGGREGATE(15,6,ROW(Influential_Persons!$B$2:$B$200)/(Influential_Persons!$B$2:$B$200=$B$23),ROWS($A$3:A5))),"")</f>
        <v/>
      </c>
      <c r="B5" s="6" t="str">
        <f aca="false">IF($A5="","",INDEX(Influential_Persons!$C:$C,MATCH($A5,Influential_Persons!$A:$A,0)))</f>
        <v/>
      </c>
      <c r="C5" s="6" t="str">
        <f aca="false">IF($A5="","",INDEX(Influential_Persons!$D:$D,MATCH($A5,Influential_Persons!$A:$A,0)))</f>
        <v/>
      </c>
      <c r="D5" s="6" t="str">
        <f aca="false">IF($A5="","",INDEX(Influential_Persons!$E:$E,MATCH($A5,Influential_Persons!$A:$A,0)))</f>
        <v/>
      </c>
      <c r="E5" s="6" t="str">
        <f aca="false">IF($A5="","",INDEX(Influential_Persons!$F:$F,MATCH($A5,Influential_Persons!$A:$A,0)))</f>
        <v/>
      </c>
      <c r="I5" s="13" t="str">
        <f aca="false">IFERROR(INDEX(Village_Master!$C:$C,_xlfn.AGGREGATE(15,6,ROW(Village_Master!$B$2:$B$200)/(Village_Master!$B$2:$B$200=$B$24),ROWS($I$2:I5))),"")</f>
        <v/>
      </c>
      <c r="J5" s="15" t="str">
        <f aca="false">IFERROR(INDEX(Caste_Data!$D:$D,_xlfn.AGGREGATE(15,6,ROW(Caste_Data!$B$2:$B$200)/((Caste_Data!$B$2:$B$200=$B$23)*(Caste_Data!$C$2:$C$200="Hindu")),ROWS($J$3:J5))),"")</f>
        <v>Kurmi</v>
      </c>
      <c r="K5" s="6"/>
      <c r="L5" s="6" t="str">
        <f aca="false">IFERROR(INDEX(Caste_Data!$D:$D,_xlfn.AGGREGATE(15,6,ROW(Caste_Data!$B$2:$B$200)/((Caste_Data!$B$2:$B$200=$B$23)*(Caste_Data!$C$2:$C$200="Muslim")),ROWS($L$3:L5))),"")</f>
        <v/>
      </c>
      <c r="M5" s="6"/>
    </row>
    <row r="6" customFormat="false" ht="15" hidden="false" customHeight="true" outlineLevel="0" collapsed="false">
      <c r="A6" s="6" t="str">
        <f aca="false">IFERROR(INDEX(Influential_Persons!$A:$A,_xlfn.AGGREGATE(15,6,ROW(Influential_Persons!$B$2:$B$200)/(Influential_Persons!$B$2:$B$200=$B$23),ROWS($A$3:A6))),"")</f>
        <v/>
      </c>
      <c r="B6" s="6" t="str">
        <f aca="false">IF($A6="","",INDEX(Influential_Persons!$C:$C,MATCH($A6,Influential_Persons!$A:$A,0)))</f>
        <v/>
      </c>
      <c r="C6" s="6" t="str">
        <f aca="false">IF($A6="","",INDEX(Influential_Persons!$D:$D,MATCH($A6,Influential_Persons!$A:$A,0)))</f>
        <v/>
      </c>
      <c r="D6" s="6" t="str">
        <f aca="false">IF($A6="","",INDEX(Influential_Persons!$E:$E,MATCH($A6,Influential_Persons!$A:$A,0)))</f>
        <v/>
      </c>
      <c r="E6" s="6" t="str">
        <f aca="false">IF($A6="","",INDEX(Influential_Persons!$F:$F,MATCH($A6,Influential_Persons!$A:$A,0)))</f>
        <v/>
      </c>
      <c r="I6" s="16" t="str">
        <f aca="false">IFERROR(INDEX(Village_Master!$C:$C,_xlfn.AGGREGATE(15,6,ROW(Village_Master!$B$2:$B$200)/(Village_Master!$B$2:$B$200=$B$24),ROWS($I$2:I6))),"")</f>
        <v/>
      </c>
      <c r="J6" s="6" t="str">
        <f aca="false">IFERROR(INDEX(Caste_Data!$D:$D,_xlfn.AGGREGATE(15,6,ROW(Caste_Data!$B$2:$B$200)/((Caste_Data!$B$2:$B$200=$B$23)*(Caste_Data!$C$2:$C$200="Hindu")),ROWS($J$3:J6))),"")</f>
        <v/>
      </c>
      <c r="K6" s="6"/>
      <c r="L6" s="6" t="str">
        <f aca="false">IFERROR(INDEX(Caste_Data!$D:$D,_xlfn.AGGREGATE(15,6,ROW(Caste_Data!$B$2:$B$200)/((Caste_Data!$B$2:$B$200=$B$23)*(Caste_Data!$C$2:$C$200="Muslim")),ROWS($L$3:L6))),"")</f>
        <v/>
      </c>
      <c r="M6" s="6"/>
    </row>
    <row r="7" customFormat="false" ht="15" hidden="false" customHeight="true" outlineLevel="0" collapsed="false">
      <c r="A7" s="6" t="str">
        <f aca="false">IFERROR(INDEX(Influential_Persons!$A:$A,_xlfn.AGGREGATE(15,6,ROW(Influential_Persons!$B$2:$B$200)/(Influential_Persons!$B$2:$B$200=$B$23),ROWS($A$3:A7))),"")</f>
        <v/>
      </c>
      <c r="B7" s="6" t="str">
        <f aca="false">IF($A7="","",INDEX(Influential_Persons!$C:$C,MATCH($A7,Influential_Persons!$A:$A,0)))</f>
        <v/>
      </c>
      <c r="C7" s="6" t="str">
        <f aca="false">IF($A7="","",INDEX(Influential_Persons!$D:$D,MATCH($A7,Influential_Persons!$A:$A,0)))</f>
        <v/>
      </c>
      <c r="D7" s="6" t="str">
        <f aca="false">IF($A7="","",INDEX(Influential_Persons!$E:$E,MATCH($A7,Influential_Persons!$A:$A,0)))</f>
        <v/>
      </c>
      <c r="E7" s="6" t="str">
        <f aca="false">IF($A7="","",INDEX(Influential_Persons!$F:$F,MATCH($A7,Influential_Persons!$A:$A,0)))</f>
        <v/>
      </c>
      <c r="G7" s="1" t="str">
        <f aca="false">IFERROR(INDEX(Caste_Data!$D:$D,MATCH(ROWS($G$3:G7),caste_data!#ref!,0)),"")</f>
        <v/>
      </c>
      <c r="I7" s="16" t="str">
        <f aca="false">IFERROR(INDEX(Village_Master!$C:$C,_xlfn.AGGREGATE(15,6,ROW(Village_Master!$B$2:$B$200)/(Village_Master!$B$2:$B$200=$B$24),ROWS($I$2:I7))),"")</f>
        <v/>
      </c>
      <c r="J7" s="6" t="str">
        <f aca="false">IFERROR(INDEX(Caste_Data!$D:$D,_xlfn.AGGREGATE(15,6,ROW(Caste_Data!$B$2:$B$200)/((Caste_Data!$B$2:$B$200=$B$23)*(Caste_Data!$C$2:$C$200="Hindu")),ROWS($J$3:J7))),"")</f>
        <v/>
      </c>
      <c r="K7" s="6"/>
      <c r="L7" s="6" t="str">
        <f aca="false">IFERROR(INDEX(Caste_Data!$D:$D,_xlfn.AGGREGATE(15,6,ROW(Caste_Data!$B$2:$B$200)/((Caste_Data!$B$2:$B$200=$B$23)*(Caste_Data!$C$2:$C$200="Muslim")),ROWS($L$3:L7))),"")</f>
        <v/>
      </c>
      <c r="M7" s="6"/>
    </row>
    <row r="8" customFormat="false" ht="15" hidden="false" customHeight="true" outlineLevel="0" collapsed="false">
      <c r="A8" s="6" t="str">
        <f aca="false">IFERROR(INDEX(Influential_Persons!$A:$A,_xlfn.AGGREGATE(15,6,ROW(Influential_Persons!$B$2:$B$200)/(Influential_Persons!$B$2:$B$200=$B$23),ROWS($A$3:A8))),"")</f>
        <v/>
      </c>
      <c r="B8" s="6" t="str">
        <f aca="false">IF($A8="","",INDEX(Influential_Persons!$C:$C,MATCH($A8,Influential_Persons!$A:$A,0)))</f>
        <v/>
      </c>
      <c r="C8" s="6" t="str">
        <f aca="false">IF($A8="","",INDEX(Influential_Persons!$D:$D,MATCH($A8,Influential_Persons!$A:$A,0)))</f>
        <v/>
      </c>
      <c r="D8" s="6" t="str">
        <f aca="false">IF($A8="","",INDEX(Influential_Persons!$E:$E,MATCH($A8,Influential_Persons!$A:$A,0)))</f>
        <v/>
      </c>
      <c r="E8" s="6" t="str">
        <f aca="false">IF($A8="","",INDEX(Influential_Persons!$F:$F,MATCH($A8,Influential_Persons!$A:$A,0)))</f>
        <v/>
      </c>
      <c r="I8" s="16" t="str">
        <f aca="false">IFERROR(INDEX(Village_Master!$C:$C,_xlfn.AGGREGATE(15,6,ROW(Village_Master!$B$2:$B$200)/(Village_Master!$B$2:$B$200=$B$24),ROWS($I$2:I8))),"")</f>
        <v/>
      </c>
      <c r="J8" s="6" t="str">
        <f aca="false">IFERROR(INDEX(Caste_Data!$D:$D,_xlfn.AGGREGATE(15,6,ROW(Caste_Data!$B$2:$B$200)/((Caste_Data!$B$2:$B$200=$B$23)*(Caste_Data!$C$2:$C$200="Hindu")),ROWS($J$3:J8))),"")</f>
        <v/>
      </c>
      <c r="K8" s="6"/>
      <c r="L8" s="6" t="str">
        <f aca="false">IFERROR(INDEX(Caste_Data!$D:$D,_xlfn.AGGREGATE(15,6,ROW(Caste_Data!$B$2:$B$200)/((Caste_Data!$B$2:$B$200=$B$23)*(Caste_Data!$C$2:$C$200="Muslim")),ROWS($L$3:L8))),"")</f>
        <v/>
      </c>
      <c r="M8" s="6"/>
    </row>
    <row r="9" customFormat="false" ht="15.75" hidden="false" customHeight="true" outlineLevel="0" collapsed="false">
      <c r="A9" s="6" t="str">
        <f aca="false">IFERROR(INDEX(Influential_Persons!$A:$A,_xlfn.AGGREGATE(15,6,ROW(Influential_Persons!$B$2:$B$200)/(Influential_Persons!$B$2:$B$200=$B$23),ROWS($A$3:A9))),"")</f>
        <v/>
      </c>
      <c r="B9" s="6" t="str">
        <f aca="false">IF($A9="","",INDEX(Influential_Persons!$C:$C,MATCH($A9,Influential_Persons!$A:$A,0)))</f>
        <v/>
      </c>
      <c r="C9" s="6" t="str">
        <f aca="false">IF($A9="","",INDEX(Influential_Persons!$D:$D,MATCH($A9,Influential_Persons!$A:$A,0)))</f>
        <v/>
      </c>
      <c r="D9" s="6" t="str">
        <f aca="false">IF($A9="","",INDEX(Influential_Persons!$E:$E,MATCH($A9,Influential_Persons!$A:$A,0)))</f>
        <v/>
      </c>
      <c r="E9" s="6" t="str">
        <f aca="false">IF($A9="","",INDEX(Influential_Persons!$F:$F,MATCH($A9,Influential_Persons!$A:$A,0)))</f>
        <v/>
      </c>
      <c r="I9" s="17" t="str">
        <f aca="false">IFERROR(INDEX(Village_Master!$C:$C,_xlfn.AGGREGATE(15,6,ROW(Village_Master!$B$2:$B$200)/(Village_Master!$B$2:$B$200=$B$24),ROWS($I$2:I9))),"")</f>
        <v/>
      </c>
      <c r="J9" s="6" t="str">
        <f aca="false">IFERROR(INDEX(Caste_Data!$D:$D,_xlfn.AGGREGATE(15,6,ROW(Caste_Data!$B$2:$B$200)/((Caste_Data!$B$2:$B$200=$B$23)*(Caste_Data!$C$2:$C$200="Hindu")),ROWS($J$3:J9))),"")</f>
        <v/>
      </c>
      <c r="K9" s="6"/>
      <c r="L9" s="6" t="str">
        <f aca="false">IFERROR(INDEX(Caste_Data!$D:$D,_xlfn.AGGREGATE(15,6,ROW(Caste_Data!$B$2:$B$200)/((Caste_Data!$B$2:$B$200=$B$23)*(Caste_Data!$C$2:$C$200="Muslim")),ROWS($L$3:L9))),"")</f>
        <v/>
      </c>
      <c r="M9" s="6"/>
    </row>
    <row r="10" customFormat="false" ht="15.75" hidden="false" customHeight="true" outlineLevel="0" collapsed="false">
      <c r="A10" s="6" t="str">
        <f aca="false">IFERROR(INDEX(Influential_Persons!$A:$A,_xlfn.AGGREGATE(15,6,ROW(Influential_Persons!$B$2:$B$200)/(Influential_Persons!$B$2:$B$200=$B$23),ROWS($A$3:A10))),"")</f>
        <v/>
      </c>
      <c r="B10" s="6" t="str">
        <f aca="false">IF($A10="","",INDEX(Influential_Persons!$C:$C,MATCH($A10,Influential_Persons!$A:$A,0)))</f>
        <v/>
      </c>
      <c r="C10" s="6" t="str">
        <f aca="false">IF($A10="","",INDEX(Influential_Persons!$D:$D,MATCH($A10,Influential_Persons!$A:$A,0)))</f>
        <v/>
      </c>
      <c r="D10" s="6" t="str">
        <f aca="false">IF($A10="","",INDEX(Influential_Persons!$E:$E,MATCH($A10,Influential_Persons!$A:$A,0)))</f>
        <v/>
      </c>
      <c r="E10" s="6" t="str">
        <f aca="false">IF($A10="","",INDEX(Influential_Persons!$F:$F,MATCH($A10,Influential_Persons!$A:$A,0)))</f>
        <v/>
      </c>
      <c r="I10" s="1" t="str">
        <f aca="false">IFERROR(INDEX(Village_Master!$C:$C,_xlfn.AGGREGATE(15,6,ROW(Village_Master!$B$2:$B$200)/(Village_Master!$B$2:$B$200=$B$24),ROWS($I$2:I10))),"")</f>
        <v/>
      </c>
      <c r="J10" s="6" t="str">
        <f aca="false">IFERROR(INDEX(Caste_Data!$D:$D,_xlfn.AGGREGATE(15,6,ROW(Caste_Data!$B$2:$B$200)/((Caste_Data!$B$2:$B$200=$B$23)*(Caste_Data!$C$2:$C$200="Hindu")),ROWS($J$3:J10))),"")</f>
        <v/>
      </c>
      <c r="K10" s="6"/>
      <c r="L10" s="6" t="str">
        <f aca="false">IFERROR(INDEX(Caste_Data!$D:$D,_xlfn.AGGREGATE(15,6,ROW(Caste_Data!$B$2:$B$200)/((Caste_Data!$B$2:$B$200=$B$23)*(Caste_Data!$C$2:$C$200="Muslim")),ROWS($L$3:L10))),"")</f>
        <v/>
      </c>
      <c r="M10" s="6"/>
    </row>
    <row r="11" customFormat="false" ht="15" hidden="false" customHeight="true" outlineLevel="0" collapsed="false">
      <c r="A11" s="6"/>
      <c r="B11" s="6"/>
      <c r="C11" s="6"/>
      <c r="D11" s="6"/>
      <c r="E11" s="6"/>
      <c r="G11" s="18" t="s">
        <v>7</v>
      </c>
      <c r="H11" s="19" t="str">
        <f aca="false">IFERROR(INDEX(Gram_Panchayat_Master!$H:$H,MATCH($B$24,Gram_Panchayat_Master!$A:$A,0)),"")</f>
        <v>पेयजल समस्या</v>
      </c>
      <c r="I11" s="19"/>
      <c r="J11" s="19"/>
      <c r="K11" s="19"/>
      <c r="L11" s="19"/>
      <c r="M11" s="19"/>
    </row>
    <row r="12" customFormat="false" ht="15.75" hidden="false" customHeight="true" outlineLevel="0" collapsed="false">
      <c r="A12" s="6"/>
      <c r="B12" s="6"/>
      <c r="C12" s="6"/>
      <c r="D12" s="6"/>
      <c r="E12" s="6"/>
      <c r="H12" s="19"/>
      <c r="I12" s="19"/>
      <c r="J12" s="19"/>
      <c r="K12" s="19"/>
      <c r="L12" s="19"/>
      <c r="M12" s="19"/>
    </row>
    <row r="13" customFormat="false" ht="15" hidden="false" customHeight="true" outlineLevel="0" collapsed="false">
      <c r="A13" s="20"/>
      <c r="B13" s="20"/>
      <c r="C13" s="20"/>
      <c r="D13" s="20"/>
      <c r="E13" s="6"/>
      <c r="G13" s="18" t="s">
        <v>8</v>
      </c>
      <c r="H13" s="19" t="str">
        <f aca="false">IFERROR(INDEX(Gram_Panchayat_Master!$I:$I,MATCH($B$24,Gram_Panchayat_Master!$A:$A,0)),"")</f>
        <v>युवाओं में बेरोजगारी अधिक</v>
      </c>
      <c r="I13" s="19"/>
      <c r="J13" s="19"/>
      <c r="K13" s="19"/>
      <c r="L13" s="19"/>
      <c r="M13" s="19"/>
    </row>
    <row r="14" customFormat="false" ht="15.75" hidden="false" customHeight="true" outlineLevel="0" collapsed="false">
      <c r="H14" s="19"/>
      <c r="I14" s="19"/>
      <c r="J14" s="19"/>
      <c r="K14" s="19"/>
      <c r="L14" s="19"/>
      <c r="M14" s="19"/>
    </row>
    <row r="15" customFormat="false" ht="15.75" hidden="false" customHeight="true" outlineLevel="0" collapsed="false">
      <c r="A15" s="21" t="s">
        <v>179</v>
      </c>
      <c r="B15" s="21"/>
      <c r="C15" s="21"/>
      <c r="D15" s="21"/>
      <c r="E15" s="21"/>
      <c r="G15" s="22" t="s">
        <v>6</v>
      </c>
      <c r="H15" s="22"/>
    </row>
    <row r="16" customFormat="false" ht="15" hidden="false" customHeight="true" outlineLevel="0" collapsed="false">
      <c r="A16" s="23" t="s">
        <v>180</v>
      </c>
      <c r="B16" s="1" t="s">
        <v>181</v>
      </c>
      <c r="C16" s="23" t="s">
        <v>137</v>
      </c>
      <c r="D16" s="23" t="s">
        <v>142</v>
      </c>
      <c r="E16" s="23" t="s">
        <v>168</v>
      </c>
      <c r="G16" s="22" t="str">
        <f aca="false">IFERROR(INDEX(Gram_Panchayat_Master!$G:$G,MATCH($B$24,Gram_Panchayat_Master!$A:$A,0)),"")</f>
        <v>Good</v>
      </c>
      <c r="H16" s="22"/>
    </row>
    <row r="17" customFormat="false" ht="15" hidden="false" customHeight="true" outlineLevel="0" collapsed="false">
      <c r="A17" s="6" t="n">
        <f aca="false">IFERROR(INDEX(Booth_Master!$C:$C,_xlfn.AGGREGATE(15,6,ROW(Booth_Master!$B$2:$B$200)/(Booth_Master!$B$2:$B$200=$B$23),ROWS($A$17:A17))),"")</f>
        <v>156</v>
      </c>
      <c r="B17" s="6" t="n">
        <f aca="false">IFERROR(INDEX(Booth_Master!$D:$D,_xlfn.AGGREGATE(15,6,ROW(Booth_Master!$B$2:$B$200)/(Booth_Master!$B$2:$B$200=$B$23),ROWS($A$17:A17))),"")</f>
        <v>102</v>
      </c>
      <c r="C17" s="6" t="n">
        <f aca="false">IFERROR(INDEX(Election_Result_2022!$C:$C,MATCH(INDEX(Booth_Master!$A:$A,_xlfn.AGGREGATE(15,6,ROW(Booth_Master!$B$2:$B$200)/(Booth_Master!$B$2:$B$200=$B$23),ROWS($A$17:A17))),Election_Result_2022!$B:$B,0)),"")</f>
        <v>260</v>
      </c>
      <c r="D17" s="6" t="n">
        <f aca="false">IFERROR(INDEX(Election_Result_2022!$D:$D,MATCH(INDEX(Booth_Master!$A:$A,_xlfn.AGGREGATE(15,6,ROW(Booth_Master!$B$2:$B$200)/(Booth_Master!$B$2:$B$200=$B$23),ROWS($A$17:A17))),Election_Result_2022!$B:$B,0)),"")</f>
        <v>300</v>
      </c>
      <c r="E17" s="6" t="n">
        <f aca="false">IFERROR(INDEX(Election_Result_2022!$E:$E,MATCH(INDEX(Booth_Master!$A:$A,_xlfn.AGGREGATE(15,6,ROW(Booth_Master!$B$2:$B$200)/(Booth_Master!$B$2:$B$200=$B$23),ROWS($A$17:A17))),Election_Result_2022!$B:$B,0)),"")</f>
        <v>90</v>
      </c>
    </row>
    <row r="18" customFormat="false" ht="15" hidden="false" customHeight="true" outlineLevel="0" collapsed="false">
      <c r="A18" s="6" t="str">
        <f aca="false">IFERROR(INDEX(Booth_Master!$C:$C,_xlfn.AGGREGATE(15,6,ROW(Booth_Master!$B$2:$B$200)/(Booth_Master!$B$2:$B$200=$B$23),ROWS($A$17:A18))),"")</f>
        <v/>
      </c>
      <c r="B18" s="6" t="str">
        <f aca="false">IFERROR(INDEX(Booth_Master!$D:$D,_xlfn.AGGREGATE(15,6,ROW(Booth_Master!$B$2:$B$200)/(Booth_Master!$B$2:$B$200=$B$23),ROWS($A$17:A18))),"")</f>
        <v/>
      </c>
      <c r="C18" s="6" t="str">
        <f aca="false">IFERROR(INDEX(Election_Result_2022!$C:$C,MATCH(INDEX(Booth_Master!$A:$A,_xlfn.AGGREGATE(15,6,ROW(Booth_Master!$B$2:$B$200)/(Booth_Master!$B$2:$B$200=$B$23),ROWS($A$17:A18))),Election_Result_2022!$B:$B,0)),"")</f>
        <v/>
      </c>
      <c r="D18" s="6" t="str">
        <f aca="false">IFERROR(INDEX(Election_Result_2022!$D:$D,MATCH(INDEX(Booth_Master!$A:$A,_xlfn.AGGREGATE(15,6,ROW(Booth_Master!$B$2:$B$200)/(Booth_Master!$B$2:$B$200=$B$23),ROWS($A$17:A18))),Election_Result_2022!$B:$B,0)),"")</f>
        <v/>
      </c>
      <c r="E18" s="6" t="str">
        <f aca="false">IFERROR(INDEX(Election_Result_2022!$E:$E,MATCH(INDEX(Booth_Master!$A:$A,_xlfn.AGGREGATE(15,6,ROW(Booth_Master!$B$2:$B$200)/(Booth_Master!$B$2:$B$200=$B$23),ROWS($A$17:A18))),Election_Result_2022!$B:$B,0)),"")</f>
        <v/>
      </c>
      <c r="G18" s="22" t="s">
        <v>182</v>
      </c>
      <c r="H18" s="22"/>
    </row>
    <row r="19" customFormat="false" ht="15" hidden="false" customHeight="true" outlineLevel="0" collapsed="false">
      <c r="A19" s="6" t="str">
        <f aca="false">IFERROR(INDEX(Booth_Master!$C:$C,_xlfn.AGGREGATE(15,6,ROW(Booth_Master!$B$2:$B$200)/(Booth_Master!$B$2:$B$200=$B$23),ROWS($A$17:A19))),"")</f>
        <v/>
      </c>
      <c r="B19" s="6" t="str">
        <f aca="false">IFERROR(INDEX(Booth_Master!$D:$D,_xlfn.AGGREGATE(15,6,ROW(Booth_Master!$B$2:$B$200)/(Booth_Master!$B$2:$B$200=$B$23),ROWS($A$17:A19))),"")</f>
        <v/>
      </c>
      <c r="C19" s="6" t="str">
        <f aca="false">IFERROR(INDEX(Election_Result_2022!$C:$C,MATCH(INDEX(Booth_Master!$A:$A,_xlfn.AGGREGATE(15,6,ROW(Booth_Master!$B$2:$B$200)/(Booth_Master!$B$2:$B$200=$B$23),ROWS($A$17:A19))),Election_Result_2022!$B:$B,0)),"")</f>
        <v/>
      </c>
      <c r="D19" s="6" t="str">
        <f aca="false">IFERROR(INDEX(Election_Result_2022!$D:$D,MATCH(INDEX(Booth_Master!$A:$A,_xlfn.AGGREGATE(15,6,ROW(Booth_Master!$B$2:$B$200)/(Booth_Master!$B$2:$B$200=$B$23),ROWS($A$17:A19))),Election_Result_2022!$B:$B,0)),"")</f>
        <v/>
      </c>
      <c r="E19" s="6" t="str">
        <f aca="false">IFERROR(INDEX(Election_Result_2022!$E:$E,MATCH(INDEX(Booth_Master!$A:$A,_xlfn.AGGREGATE(15,6,ROW(Booth_Master!$B$2:$B$200)/(Booth_Master!$B$2:$B$200=$B$23),ROWS($A$17:A19))),Election_Result_2022!$B:$B,0)),"")</f>
        <v/>
      </c>
      <c r="G19" s="22" t="str">
        <f aca="false">IFERROR(INDEX(Gram_Panchayat_Master!$J:$J,MATCH($B$24,Gram_Panchayat_Master!$A:$A,0)),"")</f>
        <v>थोडा होगा लेकिन जयादा असर नहीं पड़ेगा</v>
      </c>
      <c r="H19" s="22"/>
    </row>
    <row r="20" customFormat="false" ht="15" hidden="false" customHeight="true" outlineLevel="0" collapsed="false">
      <c r="A20" s="6" t="str">
        <f aca="false">IFERROR(INDEX(Booth_Master!$C:$C,_xlfn.AGGREGATE(15,6,ROW(Booth_Master!$B$2:$B$200)/(Booth_Master!$B$2:$B$200=$B$23),ROWS($A$17:A20))),"")</f>
        <v/>
      </c>
      <c r="B20" s="6" t="str">
        <f aca="false">IFERROR(INDEX(Booth_Master!$D:$D,_xlfn.AGGREGATE(15,6,ROW(Booth_Master!$B$2:$B$200)/(Booth_Master!$B$2:$B$200=$B$23),ROWS($A$17:A20))),"")</f>
        <v/>
      </c>
      <c r="C20" s="6" t="str">
        <f aca="false">IFERROR(INDEX(Election_Result_2022!$C:$C,MATCH(INDEX(Booth_Master!$A:$A,_xlfn.AGGREGATE(15,6,ROW(Booth_Master!$B$2:$B$200)/(Booth_Master!$B$2:$B$200=$B$23),ROWS($A$17:A20))),Election_Result_2022!$B:$B,0)),"")</f>
        <v/>
      </c>
      <c r="D20" s="6" t="str">
        <f aca="false">IFERROR(INDEX(Election_Result_2022!$D:$D,MATCH(INDEX(Booth_Master!$A:$A,_xlfn.AGGREGATE(15,6,ROW(Booth_Master!$B$2:$B$200)/(Booth_Master!$B$2:$B$200=$B$23),ROWS($A$17:A20))),Election_Result_2022!$B:$B,0)),"")</f>
        <v/>
      </c>
      <c r="E20" s="6" t="str">
        <f aca="false">IFERROR(INDEX(Election_Result_2022!$E:$E,MATCH(INDEX(Booth_Master!$A:$A,_xlfn.AGGREGATE(15,6,ROW(Booth_Master!$B$2:$B$200)/(Booth_Master!$B$2:$B$200=$B$23),ROWS($A$17:A20))),Election_Result_2022!$B:$B,0)),"")</f>
        <v/>
      </c>
    </row>
    <row r="21" customFormat="false" ht="15" hidden="false" customHeight="true" outlineLevel="0" collapsed="false">
      <c r="A21" s="6" t="str">
        <f aca="false">IFERROR(INDEX(Booth_Master!$C:$C,_xlfn.AGGREGATE(15,6,ROW(Booth_Master!$B$2:$B$200)/(Booth_Master!$B$2:$B$200=$B$23),ROWS($A$17:A21))),"")</f>
        <v/>
      </c>
      <c r="B21" s="6" t="str">
        <f aca="false">IFERROR(INDEX(Booth_Master!$D:$D,_xlfn.AGGREGATE(15,6,ROW(Booth_Master!$B$2:$B$200)/(Booth_Master!$B$2:$B$200=$B$23),ROWS($A$17:A21))),"")</f>
        <v/>
      </c>
      <c r="C21" s="6" t="str">
        <f aca="false">IFERROR(INDEX(Election_Result_2022!$C:$C,MATCH(INDEX(Booth_Master!$A:$A,_xlfn.AGGREGATE(15,6,ROW(Booth_Master!$B$2:$B$200)/(Booth_Master!$B$2:$B$200=$B$23),ROWS($A$17:A21))),Election_Result_2022!$B:$B,0)),"")</f>
        <v/>
      </c>
      <c r="D21" s="6" t="str">
        <f aca="false">IFERROR(INDEX(Election_Result_2022!$D:$D,MATCH(INDEX(Booth_Master!$A:$A,_xlfn.AGGREGATE(15,6,ROW(Booth_Master!$B$2:$B$200)/(Booth_Master!$B$2:$B$200=$B$23),ROWS($A$17:A21))),Election_Result_2022!$B:$B,0)),"")</f>
        <v/>
      </c>
      <c r="E21" s="6" t="str">
        <f aca="false">IFERROR(INDEX(Election_Result_2022!$E:$E,MATCH(INDEX(Booth_Master!$A:$A,_xlfn.AGGREGATE(15,6,ROW(Booth_Master!$B$2:$B$200)/(Booth_Master!$B$2:$B$200=$B$23),ROWS($A$17:A21))),Election_Result_2022!$B:$B,0)),"")</f>
        <v/>
      </c>
    </row>
    <row r="23" customFormat="false" ht="15" hidden="false" customHeight="true" outlineLevel="0" collapsed="false">
      <c r="A23" s="1" t="s">
        <v>183</v>
      </c>
      <c r="B23" s="1" t="str">
        <f aca="false">IFERROR(INDEX(Village_Master!$A:$A,MATCH($C$1,Village_Master!$C:$C,0)),"Not Found")</f>
        <v>V002</v>
      </c>
    </row>
    <row r="24" customFormat="false" ht="15" hidden="false" customHeight="true" outlineLevel="0" collapsed="false">
      <c r="A24" s="1" t="s">
        <v>184</v>
      </c>
      <c r="B24" s="1" t="str">
        <f aca="false">IFERROR(INDEX(Village_Master!$B:$B,MATCH($C$1,Village_Master!$C:$C,0)),"")</f>
        <v>GP001</v>
      </c>
    </row>
  </sheetData>
  <mergeCells count="7">
    <mergeCell ref="H11:M12"/>
    <mergeCell ref="H13:M14"/>
    <mergeCell ref="A15:E15"/>
    <mergeCell ref="G15:H15"/>
    <mergeCell ref="G16:H16"/>
    <mergeCell ref="G18:H18"/>
    <mergeCell ref="G19:H19"/>
  </mergeCells>
  <conditionalFormatting sqref="A2:E2 G2 J2:L2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{6BA992E8-933B-4F74-9559-DC1191B1AC67}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A992E8-933B-4F74-9559-DC1191B1AC67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A2:E2 G2 J2:L2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2026-06-16T17:26:47Z</dcterms:created>
  <dc:creator>Vikas Kumar</dc:creator>
  <dc:description/>
  <dc:language>en-US</dc:language>
  <cp:lastModifiedBy>Vikas Kumar</cp:lastModifiedBy>
  <dcterms:modified xsi:type="dcterms:W3CDTF">2026-06-17T02:02:44Z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